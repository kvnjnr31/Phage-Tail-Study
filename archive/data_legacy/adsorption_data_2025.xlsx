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joiner\Desktop\PROJECTS\Virus Project\Data\"/>
    </mc:Choice>
  </mc:AlternateContent>
  <xr:revisionPtr revIDLastSave="0" documentId="13_ncr:1_{6AC43B21-6BAD-4C50-90CE-750BFE0DC1E6}" xr6:coauthVersionLast="36" xr6:coauthVersionMax="36" xr10:uidLastSave="{00000000-0000-0000-0000-000000000000}"/>
  <bookViews>
    <workbookView xWindow="0" yWindow="1344" windowWidth="17256" windowHeight="5520" xr2:uid="{00000000-000D-0000-FFFF-FFFF00000000}"/>
  </bookViews>
  <sheets>
    <sheet name="adsorption_data" sheetId="1" r:id="rId1"/>
  </sheets>
  <calcPr calcId="191029"/>
</workbook>
</file>

<file path=xl/calcChain.xml><?xml version="1.0" encoding="utf-8"?>
<calcChain xmlns="http://schemas.openxmlformats.org/spreadsheetml/2006/main">
  <c r="R70" i="1" l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L81" i="1" l="1"/>
  <c r="L80" i="1"/>
  <c r="L79" i="1"/>
  <c r="L70" i="1"/>
  <c r="L68" i="1"/>
  <c r="L66" i="1"/>
  <c r="L65" i="1"/>
  <c r="L64" i="1"/>
  <c r="L69" i="1"/>
  <c r="L78" i="1"/>
  <c r="L67" i="1" l="1"/>
  <c r="L62" i="1"/>
  <c r="L77" i="1"/>
  <c r="L42" i="1"/>
  <c r="L76" i="1"/>
  <c r="L41" i="1"/>
  <c r="L40" i="1"/>
  <c r="L39" i="1"/>
  <c r="L38" i="1"/>
  <c r="L37" i="1"/>
  <c r="L75" i="1"/>
  <c r="L74" i="1"/>
  <c r="L73" i="1"/>
  <c r="L72" i="1"/>
  <c r="L71" i="1"/>
  <c r="L33" i="1"/>
  <c r="L32" i="1"/>
  <c r="L30" i="1"/>
  <c r="L31" i="1"/>
  <c r="L63" i="1"/>
  <c r="L29" i="1"/>
  <c r="L28" i="1"/>
  <c r="L27" i="1"/>
  <c r="L26" i="1"/>
  <c r="L25" i="1"/>
  <c r="L24" i="1"/>
  <c r="L23" i="1"/>
  <c r="L34" i="1"/>
  <c r="L35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<sst xmlns="http://schemas.openxmlformats.org/spreadsheetml/2006/main" count="652" uniqueCount="88">
  <si>
    <t>Reference</t>
  </si>
  <si>
    <t>Host</t>
  </si>
  <si>
    <t>Species/Condition</t>
  </si>
  <si>
    <t>Phage</t>
  </si>
  <si>
    <t>Ecosystem</t>
  </si>
  <si>
    <t>Bacterial shape (rod vs sphere)</t>
  </si>
  <si>
    <t>Phage capsid shape (icosahedral or elongated)</t>
  </si>
  <si>
    <t>Phage capsid diameter</t>
  </si>
  <si>
    <t>Phage capsid length (for icosahedral capsids this is the same as the prior column)</t>
  </si>
  <si>
    <t>Phage Radius (for elongated cases, this is an approximation)</t>
  </si>
  <si>
    <t>Tail type (short rigid like podo; contractile like myo; semi-flexible like sipho)</t>
  </si>
  <si>
    <t>Tail length</t>
  </si>
  <si>
    <t>Schwartz 1976</t>
  </si>
  <si>
    <t>E. coli</t>
  </si>
  <si>
    <t>Lambda</t>
  </si>
  <si>
    <t>Gut</t>
  </si>
  <si>
    <t>Shao and Wang 2008</t>
  </si>
  <si>
    <t>Moldovan et al 2007</t>
  </si>
  <si>
    <t>Ymel</t>
  </si>
  <si>
    <t>T4</t>
  </si>
  <si>
    <t>Marine</t>
  </si>
  <si>
    <t>Zhang et al 2016</t>
  </si>
  <si>
    <t>Vibrio</t>
  </si>
  <si>
    <t>Vibrio parahaemolyticus</t>
  </si>
  <si>
    <t>OWB</t>
  </si>
  <si>
    <t>Stoddard et al 2007</t>
  </si>
  <si>
    <t>Synechococcus</t>
  </si>
  <si>
    <t>WH8018</t>
  </si>
  <si>
    <t>S-RIM3</t>
  </si>
  <si>
    <t>WH7803</t>
  </si>
  <si>
    <t>S-RIM6</t>
  </si>
  <si>
    <t>WH7803R8</t>
  </si>
  <si>
    <t>S-RIM8</t>
  </si>
  <si>
    <t>WD8018</t>
  </si>
  <si>
    <t>S-RIM1</t>
  </si>
  <si>
    <t>WH7803R8R21</t>
  </si>
  <si>
    <t>WH8101</t>
  </si>
  <si>
    <t>S-RIM7</t>
  </si>
  <si>
    <t>WH7803R4</t>
  </si>
  <si>
    <t>WH8012</t>
  </si>
  <si>
    <t>Chattopadhyay et al 1987</t>
  </si>
  <si>
    <t>Vibrio eltor</t>
  </si>
  <si>
    <t>eltor phage e4</t>
  </si>
  <si>
    <t>Levisohn 1987</t>
  </si>
  <si>
    <t>Vibrio fisherii</t>
  </si>
  <si>
    <t>rp-1</t>
  </si>
  <si>
    <t>WH7803R7</t>
  </si>
  <si>
    <t>Waterbury and Valois 1993</t>
  </si>
  <si>
    <t>env. Isolate</t>
  </si>
  <si>
    <t>Mann 2003</t>
  </si>
  <si>
    <t>Env. Isolate</t>
  </si>
  <si>
    <t>siphovirus S-BBS1</t>
  </si>
  <si>
    <t>Suttle and Chan 1993</t>
  </si>
  <si>
    <t>BBC1</t>
  </si>
  <si>
    <t>S-BBS1</t>
  </si>
  <si>
    <t>myovirus S-PM2</t>
  </si>
  <si>
    <t>rod</t>
  </si>
  <si>
    <t>Equivalent Spherical Diameter (m)</t>
  </si>
  <si>
    <t>Bacterial dimensions: diameter (m)</t>
  </si>
  <si>
    <t>Bacterial dimensions: length (m)</t>
  </si>
  <si>
    <t>spherical</t>
  </si>
  <si>
    <t>Run Time (s)</t>
  </si>
  <si>
    <t>Bacteria Speed (m/s)</t>
  </si>
  <si>
    <t>comma</t>
  </si>
  <si>
    <t xml:space="preserve">comma </t>
  </si>
  <si>
    <t>icosahedral</t>
  </si>
  <si>
    <t>elongated</t>
  </si>
  <si>
    <t>Adsorption Rate d(ml/h)</t>
  </si>
  <si>
    <t>inf</t>
  </si>
  <si>
    <t>Receptor Density (sites/Surface Area)</t>
  </si>
  <si>
    <t>Myoviridae</t>
  </si>
  <si>
    <t>Siphoviridae</t>
  </si>
  <si>
    <t>Hfr G6</t>
  </si>
  <si>
    <t>Podoviridae</t>
  </si>
  <si>
    <t>coliphage T4</t>
  </si>
  <si>
    <t>Temperature (deg C)</t>
  </si>
  <si>
    <t>Knezevic et al 2011</t>
  </si>
  <si>
    <t>Ps. Aeruginosa</t>
  </si>
  <si>
    <t>ATCC 9027 &amp; env. Isolate</t>
  </si>
  <si>
    <t>marine</t>
  </si>
  <si>
    <t>Vibrio cholera</t>
  </si>
  <si>
    <t>T1</t>
  </si>
  <si>
    <t>Puck 1950</t>
  </si>
  <si>
    <t>T3</t>
  </si>
  <si>
    <t>T2</t>
  </si>
  <si>
    <t>Storms etal 2010</t>
  </si>
  <si>
    <t>Barr 2015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</si>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</sst>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Fill="1" applyAlignment="1">
      <alignment horizontal="center"/>
    </xf>
    <xf numFmtId="0" fontId="16" fillId="0" borderId="0" xfId="0" applyFont="1" applyFill="1"/>
    <xf numFmtId="0" fontId="16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wrapText="1"/>
    </xf>
    <xf numFmtId="11" fontId="16" fillId="0" borderId="0" xfId="0" applyNumberFormat="1" applyFont="1" applyFill="1" applyAlignment="1">
      <alignment horizontal="center" wrapText="1"/>
    </xf>
    <xf numFmtId="0" fontId="0" fillId="0" borderId="0" xfId="0" applyFill="1"/>
    <xf numFmtId="11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tabSelected="1" topLeftCell="B33" zoomScale="60" zoomScaleNormal="60" workbookViewId="0">
      <selection activeCell="U81" sqref="U81"/>
    </sheetView>
  </sheetViews>
  <sheetFormatPr defaultRowHeight="14.4" x14ac:dyDescent="0.3"/>
  <cols>
    <col min="1" max="1" width="23.77734375" style="6" customWidth="1"/>
    <col min="2" max="2" width="20.77734375" style="1" customWidth="1"/>
    <col min="3" max="3" width="25.6640625" style="1" customWidth="1"/>
    <col min="4" max="4" width="18.6640625" style="1" customWidth="1"/>
    <col min="5" max="5" width="15.5546875" style="1" customWidth="1"/>
    <col min="6" max="6" width="14.109375" style="7" customWidth="1"/>
    <col min="7" max="7" width="18" style="1" customWidth="1"/>
    <col min="8" max="8" width="16.21875" style="1" customWidth="1"/>
    <col min="9" max="9" width="14" style="8" customWidth="1"/>
    <col min="10" max="10" width="22.6640625" style="1" customWidth="1"/>
    <col min="11" max="11" width="19.44140625" style="1" customWidth="1"/>
    <col min="12" max="12" width="17.6640625" style="1" customWidth="1"/>
    <col min="13" max="13" width="12.5546875" style="1" customWidth="1"/>
    <col min="14" max="14" width="7.109375" style="1" customWidth="1"/>
    <col min="15" max="15" width="16.6640625" style="1" customWidth="1"/>
    <col min="16" max="16" width="12.88671875" style="1" customWidth="1"/>
    <col min="17" max="17" width="21.88671875" style="1" customWidth="1"/>
    <col min="18" max="18" width="14.21875" style="1" customWidth="1"/>
    <col min="19" max="19" width="27" style="6" customWidth="1"/>
    <col min="20" max="20" width="10.44140625" style="1" customWidth="1"/>
    <col min="21" max="21" width="11.77734375" style="1" customWidth="1"/>
    <col min="22" max="16384" width="8.88671875" style="6"/>
  </cols>
  <sheetData>
    <row r="1" spans="1:21" s="2" customFormat="1" ht="57.6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67</v>
      </c>
      <c r="G1" s="5" t="s">
        <v>69</v>
      </c>
      <c r="H1" s="5" t="s">
        <v>75</v>
      </c>
      <c r="I1" s="4" t="s">
        <v>5</v>
      </c>
      <c r="J1" s="4" t="s">
        <v>58</v>
      </c>
      <c r="K1" s="4" t="s">
        <v>59</v>
      </c>
      <c r="L1" s="4" t="s">
        <v>57</v>
      </c>
      <c r="M1" s="4" t="s">
        <v>62</v>
      </c>
      <c r="N1" s="4" t="s">
        <v>61</v>
      </c>
      <c r="O1" s="4" t="s">
        <v>6</v>
      </c>
      <c r="P1" s="4" t="s">
        <v>7</v>
      </c>
      <c r="Q1" s="4" t="s">
        <v>8</v>
      </c>
      <c r="R1" s="4" t="s">
        <v>9</v>
      </c>
      <c r="S1" s="4" t="s">
        <v>10</v>
      </c>
      <c r="T1" s="4" t="s">
        <v>11</v>
      </c>
      <c r="U1" s="3"/>
    </row>
    <row r="2" spans="1:21" x14ac:dyDescent="0.3">
      <c r="A2" s="6" t="s">
        <v>12</v>
      </c>
      <c r="B2" s="1" t="s">
        <v>13</v>
      </c>
      <c r="C2" s="1" t="s">
        <v>72</v>
      </c>
      <c r="D2" s="1" t="s">
        <v>14</v>
      </c>
      <c r="E2" s="1" t="s">
        <v>15</v>
      </c>
      <c r="F2" s="7">
        <v>5.3139999999999998E-8</v>
      </c>
      <c r="G2" s="1">
        <v>8.6</v>
      </c>
      <c r="H2" s="1">
        <v>37</v>
      </c>
      <c r="I2" s="8" t="s">
        <v>56</v>
      </c>
      <c r="J2" s="7">
        <v>7.9999999999999996E-7</v>
      </c>
      <c r="K2" s="7">
        <v>3.8E-6</v>
      </c>
      <c r="L2" s="1">
        <f t="shared" ref="L2:L36" si="0">(K2*J2*J2)^(1/3)</f>
        <v>1.3447901627195862E-6</v>
      </c>
      <c r="M2" s="7">
        <v>3.0000000000000001E-5</v>
      </c>
      <c r="N2" s="1">
        <v>1</v>
      </c>
      <c r="O2" s="1" t="s">
        <v>65</v>
      </c>
      <c r="P2" s="7">
        <v>5.9999999999999995E-8</v>
      </c>
      <c r="Q2" s="7">
        <v>5.9999999999999995E-8</v>
      </c>
      <c r="R2" s="7">
        <v>2.9999999999999997E-8</v>
      </c>
      <c r="S2" s="1" t="s">
        <v>71</v>
      </c>
      <c r="T2" s="7">
        <v>1.4999999999999999E-7</v>
      </c>
      <c r="U2" s="1">
        <v>0</v>
      </c>
    </row>
    <row r="3" spans="1:21" x14ac:dyDescent="0.3">
      <c r="A3" s="6" t="s">
        <v>12</v>
      </c>
      <c r="B3" s="1" t="s">
        <v>13</v>
      </c>
      <c r="C3" s="1" t="s">
        <v>72</v>
      </c>
      <c r="D3" s="1" t="s">
        <v>14</v>
      </c>
      <c r="E3" s="1" t="s">
        <v>15</v>
      </c>
      <c r="F3" s="7">
        <v>1.1807E-7</v>
      </c>
      <c r="G3" s="1">
        <v>12.4</v>
      </c>
      <c r="H3" s="1">
        <v>37</v>
      </c>
      <c r="I3" s="8" t="s">
        <v>56</v>
      </c>
      <c r="J3" s="7">
        <v>7.9999999999999996E-7</v>
      </c>
      <c r="K3" s="7">
        <v>3.8E-6</v>
      </c>
      <c r="L3" s="1">
        <f t="shared" si="0"/>
        <v>1.3447901627195862E-6</v>
      </c>
      <c r="M3" s="7">
        <v>3.0000000000000001E-5</v>
      </c>
      <c r="N3" s="1">
        <v>1</v>
      </c>
      <c r="O3" s="1" t="s">
        <v>65</v>
      </c>
      <c r="P3" s="7">
        <v>5.9999999999999995E-8</v>
      </c>
      <c r="Q3" s="7">
        <v>5.9999999999999995E-8</v>
      </c>
      <c r="R3" s="7">
        <v>2.9999999999999997E-8</v>
      </c>
      <c r="S3" s="1" t="s">
        <v>71</v>
      </c>
      <c r="T3" s="7">
        <v>1.4999999999999999E-7</v>
      </c>
      <c r="U3" s="1">
        <v>0</v>
      </c>
    </row>
    <row r="4" spans="1:21" x14ac:dyDescent="0.3">
      <c r="A4" s="6" t="s">
        <v>12</v>
      </c>
      <c r="B4" s="1" t="s">
        <v>13</v>
      </c>
      <c r="C4" s="1" t="s">
        <v>72</v>
      </c>
      <c r="D4" s="1" t="s">
        <v>14</v>
      </c>
      <c r="E4" s="1" t="s">
        <v>15</v>
      </c>
      <c r="F4" s="7">
        <v>1.6971999999999999E-7</v>
      </c>
      <c r="G4" s="1">
        <v>13.9</v>
      </c>
      <c r="H4" s="1">
        <v>37</v>
      </c>
      <c r="I4" s="8" t="s">
        <v>56</v>
      </c>
      <c r="J4" s="7">
        <v>7.9999999999999996E-7</v>
      </c>
      <c r="K4" s="7">
        <v>3.8E-6</v>
      </c>
      <c r="L4" s="1">
        <f t="shared" si="0"/>
        <v>1.3447901627195862E-6</v>
      </c>
      <c r="M4" s="7">
        <v>3.0000000000000001E-5</v>
      </c>
      <c r="N4" s="1">
        <v>1</v>
      </c>
      <c r="O4" s="1" t="s">
        <v>65</v>
      </c>
      <c r="P4" s="7">
        <v>5.9999999999999995E-8</v>
      </c>
      <c r="Q4" s="7">
        <v>5.9999999999999995E-8</v>
      </c>
      <c r="R4" s="7">
        <v>2.9999999999999997E-8</v>
      </c>
      <c r="S4" s="1" t="s">
        <v>71</v>
      </c>
      <c r="T4" s="7">
        <v>1.4999999999999999E-7</v>
      </c>
      <c r="U4" s="1">
        <v>0</v>
      </c>
    </row>
    <row r="5" spans="1:21" x14ac:dyDescent="0.3">
      <c r="A5" s="6" t="s">
        <v>12</v>
      </c>
      <c r="B5" s="1" t="s">
        <v>13</v>
      </c>
      <c r="C5" s="1" t="s">
        <v>72</v>
      </c>
      <c r="D5" s="1" t="s">
        <v>14</v>
      </c>
      <c r="E5" s="1" t="s">
        <v>15</v>
      </c>
      <c r="F5" s="7">
        <v>1.8745E-7</v>
      </c>
      <c r="G5" s="1">
        <v>24.9</v>
      </c>
      <c r="H5" s="1">
        <v>37</v>
      </c>
      <c r="I5" s="8" t="s">
        <v>56</v>
      </c>
      <c r="J5" s="7">
        <v>7.9999999999999996E-7</v>
      </c>
      <c r="K5" s="7">
        <v>3.8E-6</v>
      </c>
      <c r="L5" s="1">
        <f t="shared" si="0"/>
        <v>1.3447901627195862E-6</v>
      </c>
      <c r="M5" s="7">
        <v>3.0000000000000001E-5</v>
      </c>
      <c r="N5" s="1">
        <v>1</v>
      </c>
      <c r="O5" s="1" t="s">
        <v>65</v>
      </c>
      <c r="P5" s="7">
        <v>5.9999999999999995E-8</v>
      </c>
      <c r="Q5" s="7">
        <v>5.9999999999999995E-8</v>
      </c>
      <c r="R5" s="7">
        <v>2.9999999999999997E-8</v>
      </c>
      <c r="S5" s="1" t="s">
        <v>71</v>
      </c>
      <c r="T5" s="7">
        <v>1.4999999999999999E-7</v>
      </c>
      <c r="U5" s="1">
        <v>0</v>
      </c>
    </row>
    <row r="6" spans="1:21" x14ac:dyDescent="0.3">
      <c r="A6" s="6" t="s">
        <v>12</v>
      </c>
      <c r="B6" s="1" t="s">
        <v>13</v>
      </c>
      <c r="C6" s="1" t="s">
        <v>72</v>
      </c>
      <c r="D6" s="1" t="s">
        <v>14</v>
      </c>
      <c r="E6" s="1" t="s">
        <v>15</v>
      </c>
      <c r="F6" s="7">
        <v>2.4793000000000002E-7</v>
      </c>
      <c r="G6" s="1">
        <v>20.9</v>
      </c>
      <c r="H6" s="1">
        <v>37</v>
      </c>
      <c r="I6" s="8" t="s">
        <v>56</v>
      </c>
      <c r="J6" s="7">
        <v>7.9999999999999996E-7</v>
      </c>
      <c r="K6" s="7">
        <v>3.8E-6</v>
      </c>
      <c r="L6" s="1">
        <f t="shared" si="0"/>
        <v>1.3447901627195862E-6</v>
      </c>
      <c r="M6" s="7">
        <v>3.0000000000000001E-5</v>
      </c>
      <c r="N6" s="1">
        <v>1</v>
      </c>
      <c r="O6" s="1" t="s">
        <v>65</v>
      </c>
      <c r="P6" s="7">
        <v>5.9999999999999995E-8</v>
      </c>
      <c r="Q6" s="7">
        <v>5.9999999999999995E-8</v>
      </c>
      <c r="R6" s="7">
        <v>2.9999999999999997E-8</v>
      </c>
      <c r="S6" s="1" t="s">
        <v>71</v>
      </c>
      <c r="T6" s="7">
        <v>1.4999999999999999E-7</v>
      </c>
      <c r="U6" s="1">
        <v>0</v>
      </c>
    </row>
    <row r="7" spans="1:21" x14ac:dyDescent="0.3">
      <c r="A7" s="6" t="s">
        <v>12</v>
      </c>
      <c r="B7" s="1" t="s">
        <v>13</v>
      </c>
      <c r="C7" s="1" t="s">
        <v>72</v>
      </c>
      <c r="D7" s="1" t="s">
        <v>14</v>
      </c>
      <c r="E7" s="1" t="s">
        <v>15</v>
      </c>
      <c r="F7" s="7">
        <v>3.3206999999999998E-7</v>
      </c>
      <c r="G7" s="1">
        <v>32.6</v>
      </c>
      <c r="H7" s="1">
        <v>37</v>
      </c>
      <c r="I7" s="8" t="s">
        <v>56</v>
      </c>
      <c r="J7" s="7">
        <v>7.9999999999999996E-7</v>
      </c>
      <c r="K7" s="7">
        <v>3.8E-6</v>
      </c>
      <c r="L7" s="1">
        <f t="shared" si="0"/>
        <v>1.3447901627195862E-6</v>
      </c>
      <c r="M7" s="7">
        <v>3.0000000000000001E-5</v>
      </c>
      <c r="N7" s="1">
        <v>1</v>
      </c>
      <c r="O7" s="1" t="s">
        <v>65</v>
      </c>
      <c r="P7" s="7">
        <v>5.9999999999999995E-8</v>
      </c>
      <c r="Q7" s="7">
        <v>5.9999999999999995E-8</v>
      </c>
      <c r="R7" s="7">
        <v>2.9999999999999997E-8</v>
      </c>
      <c r="S7" s="1" t="s">
        <v>71</v>
      </c>
      <c r="T7" s="7">
        <v>1.4999999999999999E-7</v>
      </c>
      <c r="U7" s="1">
        <v>0</v>
      </c>
    </row>
    <row r="8" spans="1:21" x14ac:dyDescent="0.3">
      <c r="A8" s="6" t="s">
        <v>12</v>
      </c>
      <c r="B8" s="1" t="s">
        <v>13</v>
      </c>
      <c r="C8" s="1">
        <v>3000</v>
      </c>
      <c r="D8" s="1" t="s">
        <v>14</v>
      </c>
      <c r="E8" s="1" t="s">
        <v>15</v>
      </c>
      <c r="F8" s="7">
        <v>3.8962000000000002E-7</v>
      </c>
      <c r="G8" s="1">
        <v>37.200000000000003</v>
      </c>
      <c r="H8" s="1">
        <v>37</v>
      </c>
      <c r="I8" s="8" t="s">
        <v>56</v>
      </c>
      <c r="J8" s="7">
        <v>7.9999999999999996E-7</v>
      </c>
      <c r="K8" s="7">
        <v>3.8E-6</v>
      </c>
      <c r="L8" s="1">
        <f t="shared" si="0"/>
        <v>1.3447901627195862E-6</v>
      </c>
      <c r="M8" s="7">
        <v>3.0000000000000001E-5</v>
      </c>
      <c r="N8" s="1">
        <v>1</v>
      </c>
      <c r="O8" s="1" t="s">
        <v>65</v>
      </c>
      <c r="P8" s="7">
        <v>5.9999999999999995E-8</v>
      </c>
      <c r="Q8" s="7">
        <v>5.9999999999999995E-8</v>
      </c>
      <c r="R8" s="7">
        <v>2.9999999999999997E-8</v>
      </c>
      <c r="S8" s="1" t="s">
        <v>71</v>
      </c>
      <c r="T8" s="7">
        <v>1.4999999999999999E-7</v>
      </c>
      <c r="U8" s="1">
        <v>0</v>
      </c>
    </row>
    <row r="9" spans="1:21" x14ac:dyDescent="0.3">
      <c r="A9" s="6" t="s">
        <v>12</v>
      </c>
      <c r="B9" s="1" t="s">
        <v>13</v>
      </c>
      <c r="C9" s="1" t="s">
        <v>72</v>
      </c>
      <c r="D9" s="1" t="s">
        <v>14</v>
      </c>
      <c r="E9" s="1" t="s">
        <v>15</v>
      </c>
      <c r="F9" s="7">
        <v>3.9558E-7</v>
      </c>
      <c r="G9" s="1">
        <v>54.4</v>
      </c>
      <c r="H9" s="1">
        <v>37</v>
      </c>
      <c r="I9" s="8" t="s">
        <v>56</v>
      </c>
      <c r="J9" s="7">
        <v>7.9999999999999996E-7</v>
      </c>
      <c r="K9" s="7">
        <v>3.8E-6</v>
      </c>
      <c r="L9" s="1">
        <f t="shared" si="0"/>
        <v>1.3447901627195862E-6</v>
      </c>
      <c r="M9" s="7">
        <v>3.0000000000000001E-5</v>
      </c>
      <c r="N9" s="1">
        <v>1</v>
      </c>
      <c r="O9" s="1" t="s">
        <v>65</v>
      </c>
      <c r="P9" s="7">
        <v>5.9999999999999995E-8</v>
      </c>
      <c r="Q9" s="7">
        <v>5.9999999999999995E-8</v>
      </c>
      <c r="R9" s="7">
        <v>2.9999999999999997E-8</v>
      </c>
      <c r="S9" s="1" t="s">
        <v>71</v>
      </c>
      <c r="T9" s="7">
        <v>1.4999999999999999E-7</v>
      </c>
      <c r="U9" s="1">
        <v>0</v>
      </c>
    </row>
    <row r="10" spans="1:21" x14ac:dyDescent="0.3">
      <c r="A10" s="6" t="s">
        <v>12</v>
      </c>
      <c r="B10" s="1" t="s">
        <v>13</v>
      </c>
      <c r="C10" s="1" t="s">
        <v>72</v>
      </c>
      <c r="D10" s="1" t="s">
        <v>14</v>
      </c>
      <c r="E10" s="1" t="s">
        <v>15</v>
      </c>
      <c r="F10" s="7">
        <v>4.3389999999999999E-7</v>
      </c>
      <c r="G10" s="1">
        <v>40.299999999999997</v>
      </c>
      <c r="H10" s="1">
        <v>37</v>
      </c>
      <c r="I10" s="8" t="s">
        <v>56</v>
      </c>
      <c r="J10" s="7">
        <v>7.9999999999999996E-7</v>
      </c>
      <c r="K10" s="7">
        <v>3.8E-6</v>
      </c>
      <c r="L10" s="1">
        <f t="shared" si="0"/>
        <v>1.3447901627195862E-6</v>
      </c>
      <c r="M10" s="7">
        <v>3.0000000000000001E-5</v>
      </c>
      <c r="N10" s="1">
        <v>1</v>
      </c>
      <c r="O10" s="1" t="s">
        <v>65</v>
      </c>
      <c r="P10" s="7">
        <v>5.9999999999999995E-8</v>
      </c>
      <c r="Q10" s="7">
        <v>5.9999999999999995E-8</v>
      </c>
      <c r="R10" s="7">
        <v>2.9999999999999997E-8</v>
      </c>
      <c r="S10" s="1" t="s">
        <v>71</v>
      </c>
      <c r="T10" s="7">
        <v>1.4999999999999999E-7</v>
      </c>
      <c r="U10" s="1">
        <v>0</v>
      </c>
    </row>
    <row r="11" spans="1:21" x14ac:dyDescent="0.3">
      <c r="A11" s="6" t="s">
        <v>12</v>
      </c>
      <c r="B11" s="1" t="s">
        <v>13</v>
      </c>
      <c r="C11" s="1" t="s">
        <v>72</v>
      </c>
      <c r="D11" s="1" t="s">
        <v>14</v>
      </c>
      <c r="E11" s="1" t="s">
        <v>15</v>
      </c>
      <c r="F11" s="7">
        <v>5.0200999999999998E-7</v>
      </c>
      <c r="G11" s="1">
        <v>118.6</v>
      </c>
      <c r="H11" s="1">
        <v>37</v>
      </c>
      <c r="I11" s="8" t="s">
        <v>56</v>
      </c>
      <c r="J11" s="7">
        <v>7.9999999999999996E-7</v>
      </c>
      <c r="K11" s="7">
        <v>3.8E-6</v>
      </c>
      <c r="L11" s="1">
        <f t="shared" si="0"/>
        <v>1.3447901627195862E-6</v>
      </c>
      <c r="M11" s="7">
        <v>3.0000000000000001E-5</v>
      </c>
      <c r="N11" s="1">
        <v>1</v>
      </c>
      <c r="O11" s="1" t="s">
        <v>65</v>
      </c>
      <c r="P11" s="7">
        <v>5.9999999999999995E-8</v>
      </c>
      <c r="Q11" s="7">
        <v>5.9999999999999995E-8</v>
      </c>
      <c r="R11" s="7">
        <v>2.9999999999999997E-8</v>
      </c>
      <c r="S11" s="1" t="s">
        <v>71</v>
      </c>
      <c r="T11" s="7">
        <v>1.4999999999999999E-7</v>
      </c>
      <c r="U11" s="1">
        <v>0</v>
      </c>
    </row>
    <row r="12" spans="1:21" x14ac:dyDescent="0.3">
      <c r="A12" s="6" t="s">
        <v>12</v>
      </c>
      <c r="B12" s="1" t="s">
        <v>13</v>
      </c>
      <c r="C12" s="1" t="s">
        <v>72</v>
      </c>
      <c r="D12" s="1" t="s">
        <v>14</v>
      </c>
      <c r="E12" s="1" t="s">
        <v>15</v>
      </c>
      <c r="F12" s="7">
        <v>6.0236E-7</v>
      </c>
      <c r="G12" s="1">
        <v>127.1</v>
      </c>
      <c r="H12" s="1">
        <v>37</v>
      </c>
      <c r="I12" s="8" t="s">
        <v>56</v>
      </c>
      <c r="J12" s="7">
        <v>7.9999999999999996E-7</v>
      </c>
      <c r="K12" s="7">
        <v>3.8E-6</v>
      </c>
      <c r="L12" s="1">
        <f t="shared" si="0"/>
        <v>1.3447901627195862E-6</v>
      </c>
      <c r="M12" s="7">
        <v>3.0000000000000001E-5</v>
      </c>
      <c r="N12" s="1">
        <v>1</v>
      </c>
      <c r="O12" s="1" t="s">
        <v>65</v>
      </c>
      <c r="P12" s="7">
        <v>5.9999999999999995E-8</v>
      </c>
      <c r="Q12" s="7">
        <v>5.9999999999999995E-8</v>
      </c>
      <c r="R12" s="7">
        <v>2.9999999999999997E-8</v>
      </c>
      <c r="S12" s="1" t="s">
        <v>71</v>
      </c>
      <c r="T12" s="7">
        <v>1.4999999999999999E-7</v>
      </c>
      <c r="U12" s="1">
        <v>0</v>
      </c>
    </row>
    <row r="13" spans="1:21" x14ac:dyDescent="0.3">
      <c r="A13" s="6" t="s">
        <v>12</v>
      </c>
      <c r="B13" s="1" t="s">
        <v>13</v>
      </c>
      <c r="C13" s="1" t="s">
        <v>72</v>
      </c>
      <c r="D13" s="1" t="s">
        <v>14</v>
      </c>
      <c r="E13" s="1" t="s">
        <v>15</v>
      </c>
      <c r="F13" s="7">
        <v>6.0826999999999998E-7</v>
      </c>
      <c r="G13" s="1">
        <v>603.70000000000005</v>
      </c>
      <c r="H13" s="1">
        <v>37</v>
      </c>
      <c r="I13" s="8" t="s">
        <v>56</v>
      </c>
      <c r="J13" s="7">
        <v>7.9999999999999996E-7</v>
      </c>
      <c r="K13" s="7">
        <v>3.8E-6</v>
      </c>
      <c r="L13" s="1">
        <f t="shared" si="0"/>
        <v>1.3447901627195862E-6</v>
      </c>
      <c r="M13" s="7">
        <v>3.0000000000000001E-5</v>
      </c>
      <c r="N13" s="1">
        <v>1</v>
      </c>
      <c r="O13" s="1" t="s">
        <v>65</v>
      </c>
      <c r="P13" s="7">
        <v>5.9999999999999995E-8</v>
      </c>
      <c r="Q13" s="7">
        <v>5.9999999999999995E-8</v>
      </c>
      <c r="R13" s="7">
        <v>2.9999999999999997E-8</v>
      </c>
      <c r="S13" s="1" t="s">
        <v>71</v>
      </c>
      <c r="T13" s="7">
        <v>1.4999999999999999E-7</v>
      </c>
      <c r="U13" s="1">
        <v>0</v>
      </c>
    </row>
    <row r="14" spans="1:21" x14ac:dyDescent="0.3">
      <c r="A14" s="6" t="s">
        <v>12</v>
      </c>
      <c r="B14" s="1" t="s">
        <v>13</v>
      </c>
      <c r="C14" s="1" t="s">
        <v>72</v>
      </c>
      <c r="D14" s="1" t="s">
        <v>14</v>
      </c>
      <c r="E14" s="1" t="s">
        <v>15</v>
      </c>
      <c r="F14" s="7">
        <v>6.1142E-7</v>
      </c>
      <c r="G14" s="1">
        <v>192.2</v>
      </c>
      <c r="H14" s="1">
        <v>37</v>
      </c>
      <c r="I14" s="8" t="s">
        <v>56</v>
      </c>
      <c r="J14" s="7">
        <v>7.9999999999999996E-7</v>
      </c>
      <c r="K14" s="7">
        <v>3.8E-6</v>
      </c>
      <c r="L14" s="1">
        <f t="shared" si="0"/>
        <v>1.3447901627195862E-6</v>
      </c>
      <c r="M14" s="7">
        <v>3.0000000000000001E-5</v>
      </c>
      <c r="N14" s="1">
        <v>1</v>
      </c>
      <c r="O14" s="1" t="s">
        <v>65</v>
      </c>
      <c r="P14" s="7">
        <v>5.9999999999999995E-8</v>
      </c>
      <c r="Q14" s="7">
        <v>5.9999999999999995E-8</v>
      </c>
      <c r="R14" s="7">
        <v>2.9999999999999997E-8</v>
      </c>
      <c r="S14" s="1" t="s">
        <v>71</v>
      </c>
      <c r="T14" s="7">
        <v>1.4999999999999999E-7</v>
      </c>
      <c r="U14" s="1">
        <v>0</v>
      </c>
    </row>
    <row r="15" spans="1:21" x14ac:dyDescent="0.3">
      <c r="A15" s="6" t="s">
        <v>12</v>
      </c>
      <c r="B15" s="1" t="s">
        <v>13</v>
      </c>
      <c r="C15" s="1" t="s">
        <v>72</v>
      </c>
      <c r="D15" s="1" t="s">
        <v>14</v>
      </c>
      <c r="E15" s="1" t="s">
        <v>15</v>
      </c>
      <c r="F15" s="7">
        <v>6.6181000000000002E-7</v>
      </c>
      <c r="G15" s="1">
        <v>267.39999999999998</v>
      </c>
      <c r="H15" s="1">
        <v>37</v>
      </c>
      <c r="I15" s="8" t="s">
        <v>56</v>
      </c>
      <c r="J15" s="7">
        <v>7.9999999999999996E-7</v>
      </c>
      <c r="K15" s="7">
        <v>3.8E-6</v>
      </c>
      <c r="L15" s="1">
        <f t="shared" si="0"/>
        <v>1.3447901627195862E-6</v>
      </c>
      <c r="M15" s="7">
        <v>3.0000000000000001E-5</v>
      </c>
      <c r="N15" s="1">
        <v>1</v>
      </c>
      <c r="O15" s="1" t="s">
        <v>65</v>
      </c>
      <c r="P15" s="7">
        <v>5.9999999999999995E-8</v>
      </c>
      <c r="Q15" s="7">
        <v>5.9999999999999995E-8</v>
      </c>
      <c r="R15" s="7">
        <v>2.9999999999999997E-8</v>
      </c>
      <c r="S15" s="1" t="s">
        <v>71</v>
      </c>
      <c r="T15" s="7">
        <v>1.4999999999999999E-7</v>
      </c>
      <c r="U15" s="1">
        <v>0</v>
      </c>
    </row>
    <row r="16" spans="1:21" x14ac:dyDescent="0.3">
      <c r="A16" s="6" t="s">
        <v>12</v>
      </c>
      <c r="B16" s="1" t="s">
        <v>13</v>
      </c>
      <c r="C16" s="1" t="s">
        <v>72</v>
      </c>
      <c r="D16" s="1" t="s">
        <v>14</v>
      </c>
      <c r="E16" s="1" t="s">
        <v>15</v>
      </c>
      <c r="F16" s="7">
        <v>7.5483000000000004E-7</v>
      </c>
      <c r="G16" s="1">
        <v>286.8</v>
      </c>
      <c r="H16" s="1">
        <v>37</v>
      </c>
      <c r="I16" s="8" t="s">
        <v>56</v>
      </c>
      <c r="J16" s="7">
        <v>7.9999999999999996E-7</v>
      </c>
      <c r="K16" s="7">
        <v>3.8E-6</v>
      </c>
      <c r="L16" s="1">
        <f t="shared" si="0"/>
        <v>1.3447901627195862E-6</v>
      </c>
      <c r="M16" s="7">
        <v>3.0000000000000001E-5</v>
      </c>
      <c r="N16" s="1">
        <v>1</v>
      </c>
      <c r="O16" s="1" t="s">
        <v>65</v>
      </c>
      <c r="P16" s="7">
        <v>5.9999999999999995E-8</v>
      </c>
      <c r="Q16" s="7">
        <v>5.9999999999999995E-8</v>
      </c>
      <c r="R16" s="7">
        <v>2.9999999999999997E-8</v>
      </c>
      <c r="S16" s="1" t="s">
        <v>71</v>
      </c>
      <c r="T16" s="7">
        <v>1.4999999999999999E-7</v>
      </c>
      <c r="U16" s="1">
        <v>1</v>
      </c>
    </row>
    <row r="17" spans="1:21" x14ac:dyDescent="0.3">
      <c r="A17" s="6" t="s">
        <v>12</v>
      </c>
      <c r="B17" s="1" t="s">
        <v>13</v>
      </c>
      <c r="C17" s="1">
        <v>3000</v>
      </c>
      <c r="D17" s="1" t="s">
        <v>14</v>
      </c>
      <c r="E17" s="1" t="s">
        <v>15</v>
      </c>
      <c r="F17" s="7">
        <v>7.6263999999999995E-7</v>
      </c>
      <c r="G17" s="1">
        <v>903.7</v>
      </c>
      <c r="H17" s="1">
        <v>37</v>
      </c>
      <c r="I17" s="8" t="s">
        <v>56</v>
      </c>
      <c r="J17" s="7">
        <v>7.9999999999999996E-7</v>
      </c>
      <c r="K17" s="7">
        <v>3.8E-6</v>
      </c>
      <c r="L17" s="1">
        <f t="shared" si="0"/>
        <v>1.3447901627195862E-6</v>
      </c>
      <c r="M17" s="7">
        <v>3.0000000000000001E-5</v>
      </c>
      <c r="N17" s="1">
        <v>1</v>
      </c>
      <c r="O17" s="1" t="s">
        <v>65</v>
      </c>
      <c r="P17" s="7">
        <v>5.9999999999999995E-8</v>
      </c>
      <c r="Q17" s="7">
        <v>5.9999999999999995E-8</v>
      </c>
      <c r="R17" s="7">
        <v>2.9999999999999997E-8</v>
      </c>
      <c r="S17" s="1" t="s">
        <v>71</v>
      </c>
      <c r="T17" s="7">
        <v>1.4999999999999999E-7</v>
      </c>
      <c r="U17" s="1">
        <v>0</v>
      </c>
    </row>
    <row r="18" spans="1:21" x14ac:dyDescent="0.3">
      <c r="A18" s="6" t="s">
        <v>17</v>
      </c>
      <c r="B18" s="1" t="s">
        <v>13</v>
      </c>
      <c r="C18" s="1" t="s">
        <v>18</v>
      </c>
      <c r="D18" s="1" t="s">
        <v>14</v>
      </c>
      <c r="E18" s="1" t="s">
        <v>15</v>
      </c>
      <c r="F18" s="7">
        <v>5.76E-8</v>
      </c>
      <c r="H18" s="1">
        <v>10</v>
      </c>
      <c r="I18" s="8" t="s">
        <v>56</v>
      </c>
      <c r="J18" s="7">
        <v>7.9999999999999996E-7</v>
      </c>
      <c r="K18" s="7">
        <v>3.8E-6</v>
      </c>
      <c r="L18" s="1">
        <f t="shared" si="0"/>
        <v>1.3447901627195862E-6</v>
      </c>
      <c r="M18" s="7">
        <v>3.0000000000000001E-5</v>
      </c>
      <c r="N18" s="1">
        <v>1</v>
      </c>
      <c r="O18" s="1" t="s">
        <v>65</v>
      </c>
      <c r="P18" s="7">
        <v>5.9999999999999995E-8</v>
      </c>
      <c r="Q18" s="7">
        <v>5.9999999999999995E-8</v>
      </c>
      <c r="R18" s="7">
        <v>2.9999999999999997E-8</v>
      </c>
      <c r="S18" s="1" t="s">
        <v>71</v>
      </c>
      <c r="T18" s="7">
        <v>1.4999999999999999E-7</v>
      </c>
      <c r="U18" s="1">
        <v>0</v>
      </c>
    </row>
    <row r="19" spans="1:21" x14ac:dyDescent="0.3">
      <c r="A19" s="6" t="s">
        <v>17</v>
      </c>
      <c r="B19" s="1" t="s">
        <v>13</v>
      </c>
      <c r="C19" s="1" t="s">
        <v>18</v>
      </c>
      <c r="D19" s="1" t="s">
        <v>14</v>
      </c>
      <c r="E19" s="1" t="s">
        <v>15</v>
      </c>
      <c r="F19" s="7">
        <v>7.1999999999999996E-8</v>
      </c>
      <c r="H19" s="1">
        <v>15</v>
      </c>
      <c r="I19" s="8" t="s">
        <v>56</v>
      </c>
      <c r="J19" s="7">
        <v>7.9999999999999996E-7</v>
      </c>
      <c r="K19" s="7">
        <v>3.8E-6</v>
      </c>
      <c r="L19" s="1">
        <f t="shared" si="0"/>
        <v>1.3447901627195862E-6</v>
      </c>
      <c r="M19" s="7">
        <v>3.0000000000000001E-5</v>
      </c>
      <c r="N19" s="1">
        <v>1</v>
      </c>
      <c r="O19" s="1" t="s">
        <v>65</v>
      </c>
      <c r="P19" s="7">
        <v>5.9999999999999995E-8</v>
      </c>
      <c r="Q19" s="7">
        <v>5.9999999999999995E-8</v>
      </c>
      <c r="R19" s="7">
        <v>2.9999999999999997E-8</v>
      </c>
      <c r="S19" s="1" t="s">
        <v>71</v>
      </c>
      <c r="T19" s="7">
        <v>1.4999999999999999E-7</v>
      </c>
      <c r="U19" s="1">
        <v>0</v>
      </c>
    </row>
    <row r="20" spans="1:21" x14ac:dyDescent="0.3">
      <c r="A20" s="6" t="s">
        <v>17</v>
      </c>
      <c r="B20" s="1" t="s">
        <v>13</v>
      </c>
      <c r="C20" s="1" t="s">
        <v>18</v>
      </c>
      <c r="D20" s="1" t="s">
        <v>14</v>
      </c>
      <c r="E20" s="1" t="s">
        <v>15</v>
      </c>
      <c r="F20" s="7">
        <v>4.3200000000000003E-8</v>
      </c>
      <c r="H20" s="1">
        <v>20</v>
      </c>
      <c r="I20" s="8" t="s">
        <v>56</v>
      </c>
      <c r="J20" s="7">
        <v>7.9999999999999996E-7</v>
      </c>
      <c r="K20" s="7">
        <v>3.8E-6</v>
      </c>
      <c r="L20" s="1">
        <f t="shared" si="0"/>
        <v>1.3447901627195862E-6</v>
      </c>
      <c r="M20" s="7">
        <v>3.0000000000000001E-5</v>
      </c>
      <c r="N20" s="1">
        <v>1</v>
      </c>
      <c r="O20" s="1" t="s">
        <v>65</v>
      </c>
      <c r="P20" s="7">
        <v>5.9999999999999995E-8</v>
      </c>
      <c r="Q20" s="7">
        <v>5.9999999999999995E-8</v>
      </c>
      <c r="R20" s="7">
        <v>2.9999999999999997E-8</v>
      </c>
      <c r="S20" s="1" t="s">
        <v>71</v>
      </c>
      <c r="T20" s="7">
        <v>1.4999999999999999E-7</v>
      </c>
      <c r="U20" s="1">
        <v>0</v>
      </c>
    </row>
    <row r="21" spans="1:21" x14ac:dyDescent="0.3">
      <c r="A21" s="6" t="s">
        <v>17</v>
      </c>
      <c r="B21" s="1" t="s">
        <v>13</v>
      </c>
      <c r="C21" s="1" t="s">
        <v>18</v>
      </c>
      <c r="D21" s="1" t="s">
        <v>14</v>
      </c>
      <c r="E21" s="1" t="s">
        <v>15</v>
      </c>
      <c r="F21" s="7">
        <v>1.1880000000000001E-7</v>
      </c>
      <c r="H21" s="1">
        <v>24</v>
      </c>
      <c r="I21" s="8" t="s">
        <v>56</v>
      </c>
      <c r="J21" s="7">
        <v>7.9999999999999996E-7</v>
      </c>
      <c r="K21" s="7">
        <v>3.8E-6</v>
      </c>
      <c r="L21" s="1">
        <f t="shared" si="0"/>
        <v>1.3447901627195862E-6</v>
      </c>
      <c r="M21" s="7">
        <v>3.0000000000000001E-5</v>
      </c>
      <c r="N21" s="1">
        <v>1</v>
      </c>
      <c r="O21" s="1" t="s">
        <v>65</v>
      </c>
      <c r="P21" s="7">
        <v>5.9999999999999995E-8</v>
      </c>
      <c r="Q21" s="7">
        <v>5.9999999999999995E-8</v>
      </c>
      <c r="R21" s="7">
        <v>2.9999999999999997E-8</v>
      </c>
      <c r="S21" s="1" t="s">
        <v>71</v>
      </c>
      <c r="T21" s="7">
        <v>1.4999999999999999E-7</v>
      </c>
      <c r="U21" s="1">
        <v>0</v>
      </c>
    </row>
    <row r="22" spans="1:21" x14ac:dyDescent="0.3">
      <c r="A22" s="6" t="s">
        <v>17</v>
      </c>
      <c r="B22" s="1" t="s">
        <v>13</v>
      </c>
      <c r="C22" s="1" t="s">
        <v>18</v>
      </c>
      <c r="D22" s="1" t="s">
        <v>14</v>
      </c>
      <c r="E22" s="1" t="s">
        <v>15</v>
      </c>
      <c r="F22" s="7">
        <v>5.4E-8</v>
      </c>
      <c r="H22" s="1">
        <v>30</v>
      </c>
      <c r="I22" s="8" t="s">
        <v>56</v>
      </c>
      <c r="J22" s="7">
        <v>7.9999999999999996E-7</v>
      </c>
      <c r="K22" s="7">
        <v>3.8E-6</v>
      </c>
      <c r="L22" s="1">
        <f t="shared" si="0"/>
        <v>1.3447901627195862E-6</v>
      </c>
      <c r="M22" s="7">
        <v>3.0000000000000001E-5</v>
      </c>
      <c r="N22" s="1">
        <v>1</v>
      </c>
      <c r="O22" s="1" t="s">
        <v>65</v>
      </c>
      <c r="P22" s="7">
        <v>5.9999999999999995E-8</v>
      </c>
      <c r="Q22" s="7">
        <v>5.9999999999999995E-8</v>
      </c>
      <c r="R22" s="7">
        <v>2.9999999999999997E-8</v>
      </c>
      <c r="S22" s="1" t="s">
        <v>71</v>
      </c>
      <c r="T22" s="7">
        <v>1.4999999999999999E-7</v>
      </c>
      <c r="U22" s="1">
        <v>0</v>
      </c>
    </row>
    <row r="23" spans="1:21" x14ac:dyDescent="0.3">
      <c r="A23" s="6" t="s">
        <v>17</v>
      </c>
      <c r="B23" s="1" t="s">
        <v>13</v>
      </c>
      <c r="C23" s="1" t="s">
        <v>18</v>
      </c>
      <c r="D23" s="1" t="s">
        <v>14</v>
      </c>
      <c r="E23" s="1" t="s">
        <v>15</v>
      </c>
      <c r="F23" s="7">
        <v>7.1999999999999996E-8</v>
      </c>
      <c r="H23" s="1">
        <v>35</v>
      </c>
      <c r="I23" s="8" t="s">
        <v>56</v>
      </c>
      <c r="J23" s="7">
        <v>7.9999999999999996E-7</v>
      </c>
      <c r="K23" s="7">
        <v>3.8E-6</v>
      </c>
      <c r="L23" s="1">
        <f t="shared" si="0"/>
        <v>1.3447901627195862E-6</v>
      </c>
      <c r="M23" s="7">
        <v>3.0000000000000001E-5</v>
      </c>
      <c r="N23" s="1">
        <v>1</v>
      </c>
      <c r="O23" s="1" t="s">
        <v>65</v>
      </c>
      <c r="P23" s="7">
        <v>5.9999999999999995E-8</v>
      </c>
      <c r="Q23" s="7">
        <v>5.9999999999999995E-8</v>
      </c>
      <c r="R23" s="7">
        <v>2.9999999999999997E-8</v>
      </c>
      <c r="S23" s="1" t="s">
        <v>71</v>
      </c>
      <c r="T23" s="7">
        <v>1.4999999999999999E-7</v>
      </c>
      <c r="U23" s="1">
        <v>0</v>
      </c>
    </row>
    <row r="24" spans="1:21" x14ac:dyDescent="0.3">
      <c r="A24" s="6" t="s">
        <v>17</v>
      </c>
      <c r="B24" s="1" t="s">
        <v>13</v>
      </c>
      <c r="C24" s="1" t="s">
        <v>18</v>
      </c>
      <c r="D24" s="1" t="s">
        <v>14</v>
      </c>
      <c r="E24" s="1" t="s">
        <v>15</v>
      </c>
      <c r="F24" s="7">
        <v>5.76E-8</v>
      </c>
      <c r="H24" s="1">
        <v>37</v>
      </c>
      <c r="I24" s="8" t="s">
        <v>56</v>
      </c>
      <c r="J24" s="7">
        <v>7.9999999999999996E-7</v>
      </c>
      <c r="K24" s="7">
        <v>3.8E-6</v>
      </c>
      <c r="L24" s="1">
        <f t="shared" si="0"/>
        <v>1.3447901627195862E-6</v>
      </c>
      <c r="M24" s="7">
        <v>3.0000000000000001E-5</v>
      </c>
      <c r="N24" s="1">
        <v>1</v>
      </c>
      <c r="O24" s="1" t="s">
        <v>65</v>
      </c>
      <c r="P24" s="7">
        <v>5.9999999999999995E-8</v>
      </c>
      <c r="Q24" s="7">
        <v>5.9999999999999995E-8</v>
      </c>
      <c r="R24" s="7">
        <v>2.9999999999999997E-8</v>
      </c>
      <c r="S24" s="1" t="s">
        <v>71</v>
      </c>
      <c r="T24" s="7">
        <v>1.4999999999999999E-7</v>
      </c>
      <c r="U24" s="1">
        <v>1</v>
      </c>
    </row>
    <row r="25" spans="1:21" x14ac:dyDescent="0.3">
      <c r="A25" s="6" t="s">
        <v>17</v>
      </c>
      <c r="B25" s="1" t="s">
        <v>13</v>
      </c>
      <c r="C25" s="1" t="s">
        <v>18</v>
      </c>
      <c r="D25" s="1" t="s">
        <v>14</v>
      </c>
      <c r="E25" s="1" t="s">
        <v>15</v>
      </c>
      <c r="F25" s="7">
        <v>5.76E-8</v>
      </c>
      <c r="H25" s="1">
        <v>40</v>
      </c>
      <c r="I25" s="8" t="s">
        <v>56</v>
      </c>
      <c r="J25" s="7">
        <v>7.9999999999999996E-7</v>
      </c>
      <c r="K25" s="7">
        <v>3.8E-6</v>
      </c>
      <c r="L25" s="1">
        <f t="shared" si="0"/>
        <v>1.3447901627195862E-6</v>
      </c>
      <c r="M25" s="7">
        <v>3.0000000000000001E-5</v>
      </c>
      <c r="N25" s="1">
        <v>1</v>
      </c>
      <c r="O25" s="1" t="s">
        <v>65</v>
      </c>
      <c r="P25" s="7">
        <v>5.9999999999999995E-8</v>
      </c>
      <c r="Q25" s="7">
        <v>5.9999999999999995E-8</v>
      </c>
      <c r="R25" s="7">
        <v>2.9999999999999997E-8</v>
      </c>
      <c r="S25" s="1" t="s">
        <v>71</v>
      </c>
      <c r="T25" s="7">
        <v>1.4999999999999999E-7</v>
      </c>
      <c r="U25" s="1">
        <v>0</v>
      </c>
    </row>
    <row r="26" spans="1:21" x14ac:dyDescent="0.3">
      <c r="A26" s="6" t="s">
        <v>17</v>
      </c>
      <c r="B26" s="1" t="s">
        <v>13</v>
      </c>
      <c r="C26" s="1" t="s">
        <v>18</v>
      </c>
      <c r="D26" s="1" t="s">
        <v>14</v>
      </c>
      <c r="E26" s="1" t="s">
        <v>15</v>
      </c>
      <c r="F26" s="7">
        <v>4.6800000000000002E-8</v>
      </c>
      <c r="H26" s="1">
        <v>10</v>
      </c>
      <c r="I26" s="8" t="s">
        <v>56</v>
      </c>
      <c r="J26" s="7">
        <v>7.9999999999999996E-7</v>
      </c>
      <c r="K26" s="7">
        <v>3.8E-6</v>
      </c>
      <c r="L26" s="1">
        <f t="shared" si="0"/>
        <v>1.3447901627195862E-6</v>
      </c>
      <c r="M26" s="7">
        <v>3.0000000000000001E-5</v>
      </c>
      <c r="N26" s="1">
        <v>1</v>
      </c>
      <c r="O26" s="1" t="s">
        <v>65</v>
      </c>
      <c r="P26" s="7">
        <v>5.9999999999999995E-8</v>
      </c>
      <c r="Q26" s="7">
        <v>5.9999999999999995E-8</v>
      </c>
      <c r="R26" s="7">
        <v>2.9999999999999997E-8</v>
      </c>
      <c r="S26" s="1" t="s">
        <v>71</v>
      </c>
      <c r="T26" s="7">
        <v>1.4999999999999999E-7</v>
      </c>
      <c r="U26" s="1">
        <v>0</v>
      </c>
    </row>
    <row r="27" spans="1:21" x14ac:dyDescent="0.3">
      <c r="A27" s="6" t="s">
        <v>17</v>
      </c>
      <c r="B27" s="1" t="s">
        <v>13</v>
      </c>
      <c r="C27" s="1" t="s">
        <v>18</v>
      </c>
      <c r="D27" s="1" t="s">
        <v>14</v>
      </c>
      <c r="E27" s="1" t="s">
        <v>15</v>
      </c>
      <c r="F27" s="7">
        <v>1.2599999999999999E-7</v>
      </c>
      <c r="H27" s="1">
        <v>15</v>
      </c>
      <c r="I27" s="8" t="s">
        <v>56</v>
      </c>
      <c r="J27" s="7">
        <v>7.9999999999999996E-7</v>
      </c>
      <c r="K27" s="7">
        <v>3.8E-6</v>
      </c>
      <c r="L27" s="1">
        <f t="shared" si="0"/>
        <v>1.3447901627195862E-6</v>
      </c>
      <c r="M27" s="7">
        <v>3.0000000000000001E-5</v>
      </c>
      <c r="N27" s="1">
        <v>1</v>
      </c>
      <c r="O27" s="1" t="s">
        <v>65</v>
      </c>
      <c r="P27" s="7">
        <v>5.9999999999999995E-8</v>
      </c>
      <c r="Q27" s="7">
        <v>5.9999999999999995E-8</v>
      </c>
      <c r="R27" s="7">
        <v>2.9999999999999997E-8</v>
      </c>
      <c r="S27" s="1" t="s">
        <v>71</v>
      </c>
      <c r="T27" s="7">
        <v>1.4999999999999999E-7</v>
      </c>
      <c r="U27" s="1">
        <v>0</v>
      </c>
    </row>
    <row r="28" spans="1:21" x14ac:dyDescent="0.3">
      <c r="A28" s="6" t="s">
        <v>17</v>
      </c>
      <c r="B28" s="1" t="s">
        <v>13</v>
      </c>
      <c r="C28" s="1" t="s">
        <v>18</v>
      </c>
      <c r="D28" s="1" t="s">
        <v>14</v>
      </c>
      <c r="E28" s="1" t="s">
        <v>15</v>
      </c>
      <c r="F28" s="7">
        <v>5.0400000000000001E-8</v>
      </c>
      <c r="H28" s="1">
        <v>20</v>
      </c>
      <c r="I28" s="8" t="s">
        <v>56</v>
      </c>
      <c r="J28" s="7">
        <v>7.9999999999999996E-7</v>
      </c>
      <c r="K28" s="7">
        <v>3.8E-6</v>
      </c>
      <c r="L28" s="1">
        <f t="shared" si="0"/>
        <v>1.3447901627195862E-6</v>
      </c>
      <c r="M28" s="7">
        <v>3.0000000000000001E-5</v>
      </c>
      <c r="N28" s="1">
        <v>1</v>
      </c>
      <c r="O28" s="1" t="s">
        <v>65</v>
      </c>
      <c r="P28" s="7">
        <v>5.9999999999999995E-8</v>
      </c>
      <c r="Q28" s="7">
        <v>5.9999999999999995E-8</v>
      </c>
      <c r="R28" s="7">
        <v>2.9999999999999997E-8</v>
      </c>
      <c r="S28" s="1" t="s">
        <v>71</v>
      </c>
      <c r="T28" s="7">
        <v>1.4999999999999999E-7</v>
      </c>
      <c r="U28" s="1">
        <v>0</v>
      </c>
    </row>
    <row r="29" spans="1:21" x14ac:dyDescent="0.3">
      <c r="A29" s="6" t="s">
        <v>17</v>
      </c>
      <c r="B29" s="1" t="s">
        <v>13</v>
      </c>
      <c r="C29" s="1" t="s">
        <v>18</v>
      </c>
      <c r="D29" s="1" t="s">
        <v>14</v>
      </c>
      <c r="E29" s="1" t="s">
        <v>15</v>
      </c>
      <c r="F29" s="7">
        <v>7.9199999999999995E-8</v>
      </c>
      <c r="H29" s="1">
        <v>24</v>
      </c>
      <c r="I29" s="8" t="s">
        <v>56</v>
      </c>
      <c r="J29" s="7">
        <v>7.9999999999999996E-7</v>
      </c>
      <c r="K29" s="7">
        <v>3.8E-6</v>
      </c>
      <c r="L29" s="1">
        <f t="shared" si="0"/>
        <v>1.3447901627195862E-6</v>
      </c>
      <c r="M29" s="7">
        <v>3.0000000000000001E-5</v>
      </c>
      <c r="N29" s="1">
        <v>1</v>
      </c>
      <c r="O29" s="1" t="s">
        <v>65</v>
      </c>
      <c r="P29" s="7">
        <v>5.9999999999999995E-8</v>
      </c>
      <c r="Q29" s="7">
        <v>5.9999999999999995E-8</v>
      </c>
      <c r="R29" s="7">
        <v>2.9999999999999997E-8</v>
      </c>
      <c r="S29" s="1" t="s">
        <v>71</v>
      </c>
      <c r="T29" s="7">
        <v>1.4999999999999999E-7</v>
      </c>
      <c r="U29" s="1">
        <v>0</v>
      </c>
    </row>
    <row r="30" spans="1:21" x14ac:dyDescent="0.3">
      <c r="A30" s="6" t="s">
        <v>17</v>
      </c>
      <c r="B30" s="1" t="s">
        <v>13</v>
      </c>
      <c r="C30" s="1" t="s">
        <v>18</v>
      </c>
      <c r="D30" s="1" t="s">
        <v>14</v>
      </c>
      <c r="E30" s="1" t="s">
        <v>15</v>
      </c>
      <c r="F30" s="7">
        <v>5.76E-8</v>
      </c>
      <c r="H30" s="1">
        <v>30</v>
      </c>
      <c r="I30" s="8" t="s">
        <v>56</v>
      </c>
      <c r="J30" s="7">
        <v>7.9999999999999996E-7</v>
      </c>
      <c r="K30" s="7">
        <v>3.8E-6</v>
      </c>
      <c r="L30" s="1">
        <f t="shared" si="0"/>
        <v>1.3447901627195862E-6</v>
      </c>
      <c r="M30" s="7">
        <v>3.0000000000000001E-5</v>
      </c>
      <c r="N30" s="1">
        <v>1</v>
      </c>
      <c r="O30" s="1" t="s">
        <v>65</v>
      </c>
      <c r="P30" s="7">
        <v>5.9999999999999995E-8</v>
      </c>
      <c r="Q30" s="7">
        <v>5.9999999999999995E-8</v>
      </c>
      <c r="R30" s="7">
        <v>2.9999999999999997E-8</v>
      </c>
      <c r="S30" s="1" t="s">
        <v>71</v>
      </c>
      <c r="T30" s="7">
        <v>1.4999999999999999E-7</v>
      </c>
      <c r="U30" s="1">
        <v>0</v>
      </c>
    </row>
    <row r="31" spans="1:21" x14ac:dyDescent="0.3">
      <c r="A31" s="6" t="s">
        <v>17</v>
      </c>
      <c r="B31" s="1" t="s">
        <v>13</v>
      </c>
      <c r="C31" s="1" t="s">
        <v>18</v>
      </c>
      <c r="D31" s="1" t="s">
        <v>14</v>
      </c>
      <c r="E31" s="1" t="s">
        <v>15</v>
      </c>
      <c r="F31" s="7">
        <v>9.7199999999999997E-8</v>
      </c>
      <c r="H31" s="1">
        <v>35</v>
      </c>
      <c r="I31" s="8" t="s">
        <v>56</v>
      </c>
      <c r="J31" s="7">
        <v>7.9999999999999996E-7</v>
      </c>
      <c r="K31" s="7">
        <v>3.8E-6</v>
      </c>
      <c r="L31" s="1">
        <f t="shared" si="0"/>
        <v>1.3447901627195862E-6</v>
      </c>
      <c r="M31" s="7">
        <v>3.0000000000000001E-5</v>
      </c>
      <c r="N31" s="1">
        <v>1</v>
      </c>
      <c r="O31" s="1" t="s">
        <v>65</v>
      </c>
      <c r="P31" s="7">
        <v>5.9999999999999995E-8</v>
      </c>
      <c r="Q31" s="7">
        <v>5.9999999999999995E-8</v>
      </c>
      <c r="R31" s="7">
        <v>2.9999999999999997E-8</v>
      </c>
      <c r="S31" s="1" t="s">
        <v>71</v>
      </c>
      <c r="T31" s="7">
        <v>1.4999999999999999E-7</v>
      </c>
      <c r="U31" s="1">
        <v>0</v>
      </c>
    </row>
    <row r="32" spans="1:21" x14ac:dyDescent="0.3">
      <c r="A32" s="6" t="s">
        <v>17</v>
      </c>
      <c r="B32" s="1" t="s">
        <v>13</v>
      </c>
      <c r="C32" s="1" t="s">
        <v>18</v>
      </c>
      <c r="D32" s="1" t="s">
        <v>14</v>
      </c>
      <c r="E32" s="1" t="s">
        <v>15</v>
      </c>
      <c r="F32" s="7">
        <v>9.3600000000000004E-8</v>
      </c>
      <c r="H32" s="1">
        <v>37</v>
      </c>
      <c r="I32" s="8" t="s">
        <v>56</v>
      </c>
      <c r="J32" s="7">
        <v>7.9999999999999996E-7</v>
      </c>
      <c r="K32" s="7">
        <v>3.8E-6</v>
      </c>
      <c r="L32" s="1">
        <f t="shared" si="0"/>
        <v>1.3447901627195862E-6</v>
      </c>
      <c r="M32" s="7">
        <v>3.0000000000000001E-5</v>
      </c>
      <c r="N32" s="1">
        <v>1</v>
      </c>
      <c r="O32" s="1" t="s">
        <v>65</v>
      </c>
      <c r="P32" s="7">
        <v>5.9999999999999995E-8</v>
      </c>
      <c r="Q32" s="7">
        <v>5.9999999999999995E-8</v>
      </c>
      <c r="R32" s="7">
        <v>2.9999999999999997E-8</v>
      </c>
      <c r="S32" s="1" t="s">
        <v>71</v>
      </c>
      <c r="T32" s="7">
        <v>1.4999999999999999E-7</v>
      </c>
      <c r="U32" s="1">
        <v>1</v>
      </c>
    </row>
    <row r="33" spans="1:21" x14ac:dyDescent="0.3">
      <c r="A33" s="6" t="s">
        <v>17</v>
      </c>
      <c r="B33" s="1" t="s">
        <v>13</v>
      </c>
      <c r="C33" s="1" t="s">
        <v>18</v>
      </c>
      <c r="D33" s="1" t="s">
        <v>14</v>
      </c>
      <c r="E33" s="1" t="s">
        <v>15</v>
      </c>
      <c r="F33" s="7">
        <v>1.4399999999999999E-7</v>
      </c>
      <c r="H33" s="1">
        <v>40</v>
      </c>
      <c r="I33" s="8" t="s">
        <v>56</v>
      </c>
      <c r="J33" s="7">
        <v>7.9999999999999996E-7</v>
      </c>
      <c r="K33" s="7">
        <v>3.8E-6</v>
      </c>
      <c r="L33" s="1">
        <f t="shared" si="0"/>
        <v>1.3447901627195862E-6</v>
      </c>
      <c r="M33" s="7">
        <v>3.0000000000000001E-5</v>
      </c>
      <c r="N33" s="1">
        <v>1</v>
      </c>
      <c r="O33" s="1" t="s">
        <v>65</v>
      </c>
      <c r="P33" s="7">
        <v>5.9999999999999995E-8</v>
      </c>
      <c r="Q33" s="7">
        <v>5.9999999999999995E-8</v>
      </c>
      <c r="R33" s="7">
        <v>2.9999999999999997E-8</v>
      </c>
      <c r="S33" s="1" t="s">
        <v>71</v>
      </c>
      <c r="T33" s="7">
        <v>1.4999999999999999E-7</v>
      </c>
      <c r="U33" s="1">
        <v>0</v>
      </c>
    </row>
    <row r="34" spans="1:21" x14ac:dyDescent="0.3">
      <c r="A34" s="6" t="s">
        <v>16</v>
      </c>
      <c r="B34" s="1" t="s">
        <v>13</v>
      </c>
      <c r="D34" s="1" t="s">
        <v>14</v>
      </c>
      <c r="E34" s="1" t="s">
        <v>15</v>
      </c>
      <c r="F34" s="7">
        <v>5.9400000000000005E-7</v>
      </c>
      <c r="I34" s="8" t="s">
        <v>56</v>
      </c>
      <c r="J34" s="7">
        <v>7.9999999999999996E-7</v>
      </c>
      <c r="K34" s="7">
        <v>3.8E-6</v>
      </c>
      <c r="L34" s="1">
        <f t="shared" si="0"/>
        <v>1.3447901627195862E-6</v>
      </c>
      <c r="M34" s="7">
        <v>3.0000000000000001E-6</v>
      </c>
      <c r="N34" s="1">
        <v>1</v>
      </c>
      <c r="O34" s="1" t="s">
        <v>65</v>
      </c>
      <c r="P34" s="7">
        <v>5.9999999999999995E-8</v>
      </c>
      <c r="Q34" s="7">
        <v>5.9999999999999995E-8</v>
      </c>
      <c r="R34" s="7">
        <v>2.9999999999999997E-8</v>
      </c>
      <c r="S34" s="1" t="s">
        <v>71</v>
      </c>
      <c r="T34" s="7">
        <v>1.4999999999999999E-7</v>
      </c>
      <c r="U34" s="1">
        <v>1</v>
      </c>
    </row>
    <row r="35" spans="1:21" x14ac:dyDescent="0.3">
      <c r="A35" s="6" t="s">
        <v>16</v>
      </c>
      <c r="B35" s="1" t="s">
        <v>13</v>
      </c>
      <c r="D35" s="1" t="s">
        <v>14</v>
      </c>
      <c r="E35" s="1" t="s">
        <v>15</v>
      </c>
      <c r="F35" s="7">
        <v>7.98E-8</v>
      </c>
      <c r="I35" s="8" t="s">
        <v>56</v>
      </c>
      <c r="J35" s="7">
        <v>7.9999999999999996E-7</v>
      </c>
      <c r="K35" s="7">
        <v>3.8E-6</v>
      </c>
      <c r="L35" s="1">
        <f t="shared" si="0"/>
        <v>1.3447901627195862E-6</v>
      </c>
      <c r="M35" s="7">
        <v>3.0000000000000001E-6</v>
      </c>
      <c r="N35" s="1">
        <v>1</v>
      </c>
      <c r="O35" s="1" t="s">
        <v>65</v>
      </c>
      <c r="P35" s="7">
        <v>5.9999999999999995E-8</v>
      </c>
      <c r="Q35" s="7">
        <v>5.9999999999999995E-8</v>
      </c>
      <c r="R35" s="7">
        <v>2.9999999999999997E-8</v>
      </c>
      <c r="S35" s="1" t="s">
        <v>71</v>
      </c>
      <c r="T35" s="7">
        <v>1.4999999999999999E-7</v>
      </c>
      <c r="U35" s="1">
        <v>1</v>
      </c>
    </row>
    <row r="36" spans="1:21" x14ac:dyDescent="0.3">
      <c r="A36" s="6" t="s">
        <v>49</v>
      </c>
      <c r="B36" s="1" t="s">
        <v>26</v>
      </c>
      <c r="C36" s="1" t="s">
        <v>50</v>
      </c>
      <c r="D36" s="1" t="s">
        <v>51</v>
      </c>
      <c r="E36" s="1" t="s">
        <v>20</v>
      </c>
      <c r="F36" s="7">
        <v>2.34E-7</v>
      </c>
      <c r="I36" s="8" t="s">
        <v>60</v>
      </c>
      <c r="J36" s="7">
        <v>1.35E-6</v>
      </c>
      <c r="K36" s="7">
        <v>1.35E-6</v>
      </c>
      <c r="L36" s="7">
        <v>1.35E-6</v>
      </c>
      <c r="M36" s="7">
        <v>1.5E-5</v>
      </c>
      <c r="N36" s="1" t="s">
        <v>68</v>
      </c>
      <c r="O36" s="1" t="s">
        <v>65</v>
      </c>
      <c r="P36" s="7">
        <v>6.2999999999999995E-8</v>
      </c>
      <c r="Q36" s="7">
        <v>6.2999999999999995E-8</v>
      </c>
      <c r="R36" s="7">
        <v>3.2000000000000002E-8</v>
      </c>
      <c r="S36" s="1" t="s">
        <v>71</v>
      </c>
      <c r="T36" s="7">
        <v>1.6899999999999999E-7</v>
      </c>
      <c r="U36" s="1">
        <v>2</v>
      </c>
    </row>
    <row r="37" spans="1:21" x14ac:dyDescent="0.3">
      <c r="A37" s="6" t="s">
        <v>76</v>
      </c>
      <c r="B37" s="1" t="s">
        <v>77</v>
      </c>
      <c r="C37" s="1" t="s">
        <v>78</v>
      </c>
      <c r="D37" s="1" t="s">
        <v>48</v>
      </c>
      <c r="E37" s="1" t="s">
        <v>79</v>
      </c>
      <c r="F37" s="7">
        <v>1.092E-8</v>
      </c>
      <c r="H37" s="1">
        <v>4.9000000000000004</v>
      </c>
      <c r="I37" s="8" t="s">
        <v>56</v>
      </c>
      <c r="J37" s="7">
        <v>7.5000000000000002E-7</v>
      </c>
      <c r="K37" s="7">
        <v>3.0000000000000001E-6</v>
      </c>
      <c r="L37" s="1">
        <f t="shared" ref="L37:L42" si="1">(K37*J37*J37)^(1/3)</f>
        <v>1.1905507889761507E-6</v>
      </c>
      <c r="M37" s="7">
        <v>8.4999999999999999E-6</v>
      </c>
      <c r="N37" s="1">
        <v>1</v>
      </c>
      <c r="O37" s="1" t="s">
        <v>65</v>
      </c>
      <c r="P37" s="7">
        <v>6.2999999999999995E-8</v>
      </c>
      <c r="Q37" s="7">
        <v>6.2999999999999995E-8</v>
      </c>
      <c r="R37" s="7">
        <v>3.2000000000000002E-8</v>
      </c>
      <c r="S37" s="1" t="s">
        <v>71</v>
      </c>
      <c r="T37" s="7">
        <v>1.6899999999999999E-7</v>
      </c>
      <c r="U37" s="1">
        <v>0</v>
      </c>
    </row>
    <row r="38" spans="1:21" x14ac:dyDescent="0.3">
      <c r="A38" s="6" t="s">
        <v>76</v>
      </c>
      <c r="B38" s="1" t="s">
        <v>77</v>
      </c>
      <c r="C38" s="1" t="s">
        <v>78</v>
      </c>
      <c r="D38" s="1" t="s">
        <v>48</v>
      </c>
      <c r="E38" s="1" t="s">
        <v>79</v>
      </c>
      <c r="F38" s="7">
        <v>1.378E-8</v>
      </c>
      <c r="H38" s="1">
        <v>16.600000000000001</v>
      </c>
      <c r="I38" s="8" t="s">
        <v>56</v>
      </c>
      <c r="J38" s="7">
        <v>7.5000000000000002E-7</v>
      </c>
      <c r="K38" s="7">
        <v>3.0000000000000001E-6</v>
      </c>
      <c r="L38" s="1">
        <f t="shared" si="1"/>
        <v>1.1905507889761507E-6</v>
      </c>
      <c r="M38" s="7">
        <v>8.4999999999999999E-6</v>
      </c>
      <c r="N38" s="1">
        <v>1</v>
      </c>
      <c r="O38" s="1" t="s">
        <v>65</v>
      </c>
      <c r="P38" s="7">
        <v>6.2999999999999995E-8</v>
      </c>
      <c r="Q38" s="7">
        <v>6.2999999999999995E-8</v>
      </c>
      <c r="R38" s="7">
        <v>3.2000000000000002E-8</v>
      </c>
      <c r="S38" s="1" t="s">
        <v>71</v>
      </c>
      <c r="T38" s="7">
        <v>1.6899999999999999E-7</v>
      </c>
      <c r="U38" s="1">
        <v>0</v>
      </c>
    </row>
    <row r="39" spans="1:21" x14ac:dyDescent="0.3">
      <c r="A39" s="6" t="s">
        <v>76</v>
      </c>
      <c r="B39" s="1" t="s">
        <v>77</v>
      </c>
      <c r="C39" s="1" t="s">
        <v>78</v>
      </c>
      <c r="D39" s="1" t="s">
        <v>48</v>
      </c>
      <c r="E39" s="1" t="s">
        <v>79</v>
      </c>
      <c r="F39" s="7">
        <v>1.5160000000000001E-8</v>
      </c>
      <c r="H39" s="1">
        <v>25.1</v>
      </c>
      <c r="I39" s="8" t="s">
        <v>56</v>
      </c>
      <c r="J39" s="7">
        <v>7.5000000000000002E-7</v>
      </c>
      <c r="K39" s="7">
        <v>3.0000000000000001E-6</v>
      </c>
      <c r="L39" s="1">
        <f t="shared" si="1"/>
        <v>1.1905507889761507E-6</v>
      </c>
      <c r="M39" s="7">
        <v>8.4999999999999999E-6</v>
      </c>
      <c r="N39" s="1">
        <v>1</v>
      </c>
      <c r="O39" s="1" t="s">
        <v>65</v>
      </c>
      <c r="P39" s="7">
        <v>6.2999999999999995E-8</v>
      </c>
      <c r="Q39" s="7">
        <v>6.2999999999999995E-8</v>
      </c>
      <c r="R39" s="7">
        <v>3.2000000000000002E-8</v>
      </c>
      <c r="S39" s="1" t="s">
        <v>71</v>
      </c>
      <c r="T39" s="7">
        <v>1.6899999999999999E-7</v>
      </c>
      <c r="U39" s="1">
        <v>0</v>
      </c>
    </row>
    <row r="40" spans="1:21" x14ac:dyDescent="0.3">
      <c r="A40" s="6" t="s">
        <v>76</v>
      </c>
      <c r="B40" s="1" t="s">
        <v>77</v>
      </c>
      <c r="C40" s="1" t="s">
        <v>78</v>
      </c>
      <c r="D40" s="1" t="s">
        <v>48</v>
      </c>
      <c r="E40" s="1" t="s">
        <v>79</v>
      </c>
      <c r="F40" s="7">
        <v>1.7660000000000001E-8</v>
      </c>
      <c r="H40" s="1">
        <v>36.9</v>
      </c>
      <c r="I40" s="8" t="s">
        <v>56</v>
      </c>
      <c r="J40" s="7">
        <v>7.5000000000000002E-7</v>
      </c>
      <c r="K40" s="7">
        <v>3.0000000000000001E-6</v>
      </c>
      <c r="L40" s="1">
        <f t="shared" si="1"/>
        <v>1.1905507889761507E-6</v>
      </c>
      <c r="M40" s="7">
        <v>8.4999999999999999E-6</v>
      </c>
      <c r="N40" s="1">
        <v>1</v>
      </c>
      <c r="O40" s="1" t="s">
        <v>65</v>
      </c>
      <c r="P40" s="7">
        <v>6.2999999999999995E-8</v>
      </c>
      <c r="Q40" s="7">
        <v>6.2999999999999995E-8</v>
      </c>
      <c r="R40" s="7">
        <v>3.2000000000000002E-8</v>
      </c>
      <c r="S40" s="1" t="s">
        <v>71</v>
      </c>
      <c r="T40" s="7">
        <v>1.6899999999999999E-7</v>
      </c>
      <c r="U40" s="1">
        <v>2</v>
      </c>
    </row>
    <row r="41" spans="1:21" x14ac:dyDescent="0.3">
      <c r="A41" s="6" t="s">
        <v>76</v>
      </c>
      <c r="B41" s="1" t="s">
        <v>77</v>
      </c>
      <c r="C41" s="1" t="s">
        <v>78</v>
      </c>
      <c r="D41" s="1" t="s">
        <v>48</v>
      </c>
      <c r="E41" s="1" t="s">
        <v>79</v>
      </c>
      <c r="F41" s="7">
        <v>1.8650000000000002E-8</v>
      </c>
      <c r="H41" s="1">
        <v>44.4</v>
      </c>
      <c r="I41" s="8" t="s">
        <v>56</v>
      </c>
      <c r="J41" s="7">
        <v>7.5000000000000002E-7</v>
      </c>
      <c r="K41" s="7">
        <v>3.0000000000000001E-6</v>
      </c>
      <c r="L41" s="1">
        <f t="shared" si="1"/>
        <v>1.1905507889761507E-6</v>
      </c>
      <c r="M41" s="7">
        <v>8.4999999999999999E-6</v>
      </c>
      <c r="N41" s="1">
        <v>1</v>
      </c>
      <c r="O41" s="1" t="s">
        <v>65</v>
      </c>
      <c r="P41" s="7">
        <v>6.2999999999999995E-8</v>
      </c>
      <c r="Q41" s="7">
        <v>6.2999999999999995E-8</v>
      </c>
      <c r="R41" s="7">
        <v>3.2000000000000002E-8</v>
      </c>
      <c r="S41" s="1" t="s">
        <v>71</v>
      </c>
      <c r="T41" s="7">
        <v>1.6899999999999999E-7</v>
      </c>
      <c r="U41" s="1">
        <v>0</v>
      </c>
    </row>
    <row r="42" spans="1:21" x14ac:dyDescent="0.3">
      <c r="A42" s="6" t="s">
        <v>82</v>
      </c>
      <c r="B42" s="1" t="s">
        <v>13</v>
      </c>
      <c r="C42" s="1" t="s">
        <v>50</v>
      </c>
      <c r="D42" s="1" t="s">
        <v>81</v>
      </c>
      <c r="E42" s="1" t="s">
        <v>79</v>
      </c>
      <c r="F42" s="7">
        <v>1.86E-7</v>
      </c>
      <c r="H42" s="1">
        <v>37</v>
      </c>
      <c r="I42" s="8" t="s">
        <v>56</v>
      </c>
      <c r="J42" s="7">
        <v>7.9999999999999996E-7</v>
      </c>
      <c r="K42" s="7">
        <v>3.8E-6</v>
      </c>
      <c r="L42" s="1">
        <f t="shared" si="1"/>
        <v>1.3447901627195862E-6</v>
      </c>
      <c r="M42" s="7">
        <v>3.0000000000000001E-6</v>
      </c>
      <c r="N42" s="1">
        <v>1</v>
      </c>
      <c r="O42" s="1" t="s">
        <v>65</v>
      </c>
      <c r="P42" s="7">
        <v>5.9999999999999995E-8</v>
      </c>
      <c r="Q42" s="7">
        <v>5.9999999999999995E-8</v>
      </c>
      <c r="R42" s="7">
        <v>2.9999999999999997E-8</v>
      </c>
      <c r="S42" s="1" t="s">
        <v>71</v>
      </c>
      <c r="T42" s="7">
        <v>1.5099999999999999E-7</v>
      </c>
      <c r="U42" s="1">
        <v>3</v>
      </c>
    </row>
    <row r="43" spans="1:21" x14ac:dyDescent="0.3">
      <c r="A43" s="6" t="s">
        <v>52</v>
      </c>
      <c r="B43" s="1" t="s">
        <v>26</v>
      </c>
      <c r="C43" s="1" t="s">
        <v>53</v>
      </c>
      <c r="D43" s="1" t="s">
        <v>54</v>
      </c>
      <c r="E43" s="1" t="s">
        <v>20</v>
      </c>
      <c r="F43" s="7">
        <v>2.36E-7</v>
      </c>
      <c r="I43" s="8" t="s">
        <v>60</v>
      </c>
      <c r="J43" s="7">
        <v>1.35E-6</v>
      </c>
      <c r="K43" s="7">
        <v>1.35E-6</v>
      </c>
      <c r="L43" s="7">
        <v>1.35E-6</v>
      </c>
      <c r="M43" s="7">
        <v>1.5E-5</v>
      </c>
      <c r="N43" s="1" t="s">
        <v>68</v>
      </c>
      <c r="O43" s="1" t="s">
        <v>65</v>
      </c>
      <c r="P43" s="7">
        <v>6.2999999999999995E-8</v>
      </c>
      <c r="Q43" s="7">
        <v>6.2999999999999995E-8</v>
      </c>
      <c r="R43" s="7">
        <v>3.2000000000000002E-8</v>
      </c>
      <c r="S43" s="1" t="s">
        <v>71</v>
      </c>
      <c r="T43" s="7">
        <v>1.6899999999999999E-7</v>
      </c>
      <c r="U43" s="1">
        <v>2</v>
      </c>
    </row>
    <row r="44" spans="1:21" x14ac:dyDescent="0.3">
      <c r="A44" s="6" t="s">
        <v>25</v>
      </c>
      <c r="B44" s="1" t="s">
        <v>26</v>
      </c>
      <c r="C44" s="1" t="s">
        <v>27</v>
      </c>
      <c r="D44" s="1" t="s">
        <v>28</v>
      </c>
      <c r="E44" s="1" t="s">
        <v>20</v>
      </c>
      <c r="F44" s="7">
        <v>1.3799999999999999E-8</v>
      </c>
      <c r="I44" s="8" t="s">
        <v>60</v>
      </c>
      <c r="J44" s="7">
        <v>1.35E-6</v>
      </c>
      <c r="K44" s="7">
        <v>1.35E-6</v>
      </c>
      <c r="L44" s="7">
        <v>1.35E-6</v>
      </c>
      <c r="M44" s="7">
        <v>1.5E-5</v>
      </c>
      <c r="N44" s="1" t="s">
        <v>68</v>
      </c>
      <c r="O44" s="1" t="s">
        <v>65</v>
      </c>
      <c r="P44" s="7">
        <v>8.3700000000000002E-8</v>
      </c>
      <c r="Q44" s="7">
        <v>8.3700000000000002E-8</v>
      </c>
      <c r="R44" s="7">
        <f>Q44/2</f>
        <v>4.1850000000000001E-8</v>
      </c>
      <c r="S44" s="1" t="s">
        <v>70</v>
      </c>
      <c r="T44" s="7">
        <v>1.3400000000000001E-7</v>
      </c>
      <c r="U44" s="1">
        <v>4</v>
      </c>
    </row>
    <row r="45" spans="1:21" x14ac:dyDescent="0.3">
      <c r="A45" s="6" t="s">
        <v>25</v>
      </c>
      <c r="B45" s="1" t="s">
        <v>26</v>
      </c>
      <c r="C45" s="1" t="s">
        <v>29</v>
      </c>
      <c r="D45" s="1" t="s">
        <v>30</v>
      </c>
      <c r="E45" s="1" t="s">
        <v>20</v>
      </c>
      <c r="F45" s="7">
        <v>1.7999999999999999E-8</v>
      </c>
      <c r="I45" s="8" t="s">
        <v>60</v>
      </c>
      <c r="J45" s="7">
        <v>1.35E-6</v>
      </c>
      <c r="K45" s="7">
        <v>1.35E-6</v>
      </c>
      <c r="L45" s="7">
        <v>1.35E-6</v>
      </c>
      <c r="M45" s="7">
        <v>1.5E-5</v>
      </c>
      <c r="N45" s="1" t="s">
        <v>68</v>
      </c>
      <c r="O45" s="1" t="s">
        <v>65</v>
      </c>
      <c r="P45" s="7">
        <v>8.3700000000000002E-8</v>
      </c>
      <c r="Q45" s="7">
        <v>8.3700000000000002E-8</v>
      </c>
      <c r="R45" s="7">
        <f t="shared" ref="R45:R60" si="2">Q45/2</f>
        <v>4.1850000000000001E-8</v>
      </c>
      <c r="S45" s="1" t="s">
        <v>70</v>
      </c>
      <c r="T45" s="7">
        <v>1.3400000000000001E-7</v>
      </c>
      <c r="U45" s="1">
        <v>4</v>
      </c>
    </row>
    <row r="46" spans="1:21" x14ac:dyDescent="0.3">
      <c r="A46" s="6" t="s">
        <v>25</v>
      </c>
      <c r="B46" s="1" t="s">
        <v>26</v>
      </c>
      <c r="C46" s="1" t="s">
        <v>31</v>
      </c>
      <c r="D46" s="1" t="s">
        <v>30</v>
      </c>
      <c r="E46" s="1" t="s">
        <v>20</v>
      </c>
      <c r="F46" s="7">
        <v>2.5200000000000001E-8</v>
      </c>
      <c r="I46" s="8" t="s">
        <v>60</v>
      </c>
      <c r="J46" s="7">
        <v>1.35E-6</v>
      </c>
      <c r="K46" s="7">
        <v>1.35E-6</v>
      </c>
      <c r="L46" s="7">
        <v>1.35E-6</v>
      </c>
      <c r="M46" s="7">
        <v>1.5E-5</v>
      </c>
      <c r="N46" s="1" t="s">
        <v>68</v>
      </c>
      <c r="O46" s="1" t="s">
        <v>65</v>
      </c>
      <c r="P46" s="7">
        <v>8.3700000000000002E-8</v>
      </c>
      <c r="Q46" s="7">
        <v>8.3700000000000002E-8</v>
      </c>
      <c r="R46" s="7">
        <f t="shared" si="2"/>
        <v>4.1850000000000001E-8</v>
      </c>
      <c r="S46" s="1" t="s">
        <v>70</v>
      </c>
      <c r="T46" s="7">
        <v>1.3400000000000001E-7</v>
      </c>
      <c r="U46" s="1">
        <v>4</v>
      </c>
    </row>
    <row r="47" spans="1:21" x14ac:dyDescent="0.3">
      <c r="A47" s="6" t="s">
        <v>25</v>
      </c>
      <c r="B47" s="1" t="s">
        <v>26</v>
      </c>
      <c r="C47" s="1" t="s">
        <v>29</v>
      </c>
      <c r="D47" s="1" t="s">
        <v>32</v>
      </c>
      <c r="E47" s="1" t="s">
        <v>20</v>
      </c>
      <c r="F47" s="7">
        <v>2.5200000000000001E-8</v>
      </c>
      <c r="I47" s="8" t="s">
        <v>60</v>
      </c>
      <c r="J47" s="7">
        <v>1.35E-6</v>
      </c>
      <c r="K47" s="7">
        <v>1.35E-6</v>
      </c>
      <c r="L47" s="7">
        <v>1.35E-6</v>
      </c>
      <c r="M47" s="7">
        <v>1.5E-5</v>
      </c>
      <c r="N47" s="1" t="s">
        <v>68</v>
      </c>
      <c r="O47" s="1" t="s">
        <v>65</v>
      </c>
      <c r="P47" s="7">
        <v>8.3700000000000002E-8</v>
      </c>
      <c r="Q47" s="7">
        <v>8.3700000000000002E-8</v>
      </c>
      <c r="R47" s="7">
        <f t="shared" si="2"/>
        <v>4.1850000000000001E-8</v>
      </c>
      <c r="S47" s="1" t="s">
        <v>70</v>
      </c>
      <c r="T47" s="7">
        <v>1.3400000000000001E-7</v>
      </c>
      <c r="U47" s="1">
        <v>4</v>
      </c>
    </row>
    <row r="48" spans="1:21" x14ac:dyDescent="0.3">
      <c r="A48" s="6" t="s">
        <v>25</v>
      </c>
      <c r="B48" s="1" t="s">
        <v>26</v>
      </c>
      <c r="C48" s="1" t="s">
        <v>33</v>
      </c>
      <c r="D48" s="1" t="s">
        <v>30</v>
      </c>
      <c r="E48" s="1" t="s">
        <v>20</v>
      </c>
      <c r="F48" s="7">
        <v>2.5799999999999999E-8</v>
      </c>
      <c r="I48" s="8" t="s">
        <v>60</v>
      </c>
      <c r="J48" s="7">
        <v>1.35E-6</v>
      </c>
      <c r="K48" s="7">
        <v>1.35E-6</v>
      </c>
      <c r="L48" s="7">
        <v>1.35E-6</v>
      </c>
      <c r="M48" s="7">
        <v>1.5E-5</v>
      </c>
      <c r="N48" s="1" t="s">
        <v>68</v>
      </c>
      <c r="O48" s="1" t="s">
        <v>65</v>
      </c>
      <c r="P48" s="7">
        <v>8.3700000000000002E-8</v>
      </c>
      <c r="Q48" s="7">
        <v>8.3700000000000002E-8</v>
      </c>
      <c r="R48" s="7">
        <f t="shared" si="2"/>
        <v>4.1850000000000001E-8</v>
      </c>
      <c r="S48" s="1" t="s">
        <v>70</v>
      </c>
      <c r="T48" s="7">
        <v>1.3400000000000001E-7</v>
      </c>
      <c r="U48" s="1">
        <v>4</v>
      </c>
    </row>
    <row r="49" spans="1:21" x14ac:dyDescent="0.3">
      <c r="A49" s="6" t="s">
        <v>25</v>
      </c>
      <c r="B49" s="1" t="s">
        <v>26</v>
      </c>
      <c r="C49" s="1" t="s">
        <v>29</v>
      </c>
      <c r="D49" s="1" t="s">
        <v>34</v>
      </c>
      <c r="E49" s="1" t="s">
        <v>20</v>
      </c>
      <c r="F49" s="7">
        <v>2.9999999999999997E-8</v>
      </c>
      <c r="I49" s="8" t="s">
        <v>60</v>
      </c>
      <c r="J49" s="7">
        <v>1.35E-6</v>
      </c>
      <c r="K49" s="7">
        <v>1.35E-6</v>
      </c>
      <c r="L49" s="7">
        <v>1.35E-6</v>
      </c>
      <c r="M49" s="7">
        <v>1.5E-5</v>
      </c>
      <c r="N49" s="1" t="s">
        <v>68</v>
      </c>
      <c r="O49" s="1" t="s">
        <v>65</v>
      </c>
      <c r="P49" s="7">
        <v>8.3700000000000002E-8</v>
      </c>
      <c r="Q49" s="7">
        <v>8.3700000000000002E-8</v>
      </c>
      <c r="R49" s="7">
        <f t="shared" si="2"/>
        <v>4.1850000000000001E-8</v>
      </c>
      <c r="S49" s="1" t="s">
        <v>70</v>
      </c>
      <c r="T49" s="7">
        <v>1.3400000000000001E-7</v>
      </c>
      <c r="U49" s="1">
        <v>4</v>
      </c>
    </row>
    <row r="50" spans="1:21" x14ac:dyDescent="0.3">
      <c r="A50" s="6" t="s">
        <v>25</v>
      </c>
      <c r="B50" s="1" t="s">
        <v>26</v>
      </c>
      <c r="C50" s="1" t="s">
        <v>27</v>
      </c>
      <c r="D50" s="1" t="s">
        <v>28</v>
      </c>
      <c r="E50" s="1" t="s">
        <v>20</v>
      </c>
      <c r="F50" s="7">
        <v>3.18E-8</v>
      </c>
      <c r="I50" s="8" t="s">
        <v>60</v>
      </c>
      <c r="J50" s="7">
        <v>1.35E-6</v>
      </c>
      <c r="K50" s="7">
        <v>1.35E-6</v>
      </c>
      <c r="L50" s="7">
        <v>1.35E-6</v>
      </c>
      <c r="M50" s="7">
        <v>1.5E-5</v>
      </c>
      <c r="N50" s="1" t="s">
        <v>68</v>
      </c>
      <c r="O50" s="1" t="s">
        <v>65</v>
      </c>
      <c r="P50" s="7">
        <v>8.3700000000000002E-8</v>
      </c>
      <c r="Q50" s="7">
        <v>8.3700000000000002E-8</v>
      </c>
      <c r="R50" s="7">
        <f t="shared" si="2"/>
        <v>4.1850000000000001E-8</v>
      </c>
      <c r="S50" s="1" t="s">
        <v>70</v>
      </c>
      <c r="T50" s="7">
        <v>1.3400000000000001E-7</v>
      </c>
      <c r="U50" s="1">
        <v>4</v>
      </c>
    </row>
    <row r="51" spans="1:21" x14ac:dyDescent="0.3">
      <c r="A51" s="6" t="s">
        <v>25</v>
      </c>
      <c r="B51" s="1" t="s">
        <v>26</v>
      </c>
      <c r="C51" s="1" t="s">
        <v>35</v>
      </c>
      <c r="D51" s="1" t="s">
        <v>34</v>
      </c>
      <c r="E51" s="1" t="s">
        <v>20</v>
      </c>
      <c r="F51" s="7">
        <v>3.2999999999999998E-8</v>
      </c>
      <c r="I51" s="8" t="s">
        <v>60</v>
      </c>
      <c r="J51" s="7">
        <v>1.35E-6</v>
      </c>
      <c r="K51" s="7">
        <v>1.35E-6</v>
      </c>
      <c r="L51" s="7">
        <v>1.35E-6</v>
      </c>
      <c r="M51" s="7">
        <v>1.5E-5</v>
      </c>
      <c r="N51" s="1" t="s">
        <v>68</v>
      </c>
      <c r="O51" s="1" t="s">
        <v>65</v>
      </c>
      <c r="P51" s="7">
        <v>8.3700000000000002E-8</v>
      </c>
      <c r="Q51" s="7">
        <v>8.3700000000000002E-8</v>
      </c>
      <c r="R51" s="7">
        <f t="shared" si="2"/>
        <v>4.1850000000000001E-8</v>
      </c>
      <c r="S51" s="1" t="s">
        <v>70</v>
      </c>
      <c r="T51" s="7">
        <v>1.3400000000000001E-7</v>
      </c>
      <c r="U51" s="1">
        <v>4</v>
      </c>
    </row>
    <row r="52" spans="1:21" x14ac:dyDescent="0.3">
      <c r="A52" s="6" t="s">
        <v>25</v>
      </c>
      <c r="B52" s="1" t="s">
        <v>26</v>
      </c>
      <c r="C52" s="1" t="s">
        <v>31</v>
      </c>
      <c r="D52" s="1" t="s">
        <v>34</v>
      </c>
      <c r="E52" s="1" t="s">
        <v>20</v>
      </c>
      <c r="F52" s="7">
        <v>3.6599999999999997E-8</v>
      </c>
      <c r="I52" s="8" t="s">
        <v>60</v>
      </c>
      <c r="J52" s="7">
        <v>1.35E-6</v>
      </c>
      <c r="K52" s="7">
        <v>1.35E-6</v>
      </c>
      <c r="L52" s="7">
        <v>1.35E-6</v>
      </c>
      <c r="M52" s="7">
        <v>1.5E-5</v>
      </c>
      <c r="N52" s="1" t="s">
        <v>68</v>
      </c>
      <c r="O52" s="1" t="s">
        <v>65</v>
      </c>
      <c r="P52" s="7">
        <v>8.3700000000000002E-8</v>
      </c>
      <c r="Q52" s="7">
        <v>8.3700000000000002E-8</v>
      </c>
      <c r="R52" s="7">
        <f t="shared" si="2"/>
        <v>4.1850000000000001E-8</v>
      </c>
      <c r="S52" s="1" t="s">
        <v>70</v>
      </c>
      <c r="T52" s="7">
        <v>1.3400000000000001E-7</v>
      </c>
      <c r="U52" s="1">
        <v>4</v>
      </c>
    </row>
    <row r="53" spans="1:21" x14ac:dyDescent="0.3">
      <c r="A53" s="6" t="s">
        <v>25</v>
      </c>
      <c r="B53" s="1" t="s">
        <v>26</v>
      </c>
      <c r="C53" s="1" t="s">
        <v>36</v>
      </c>
      <c r="D53" s="1" t="s">
        <v>28</v>
      </c>
      <c r="E53" s="1" t="s">
        <v>20</v>
      </c>
      <c r="F53" s="7">
        <v>4.1999999999999999E-8</v>
      </c>
      <c r="I53" s="8" t="s">
        <v>60</v>
      </c>
      <c r="J53" s="7">
        <v>1.35E-6</v>
      </c>
      <c r="K53" s="7">
        <v>1.35E-6</v>
      </c>
      <c r="L53" s="7">
        <v>1.35E-6</v>
      </c>
      <c r="M53" s="7">
        <v>1.5E-5</v>
      </c>
      <c r="N53" s="1" t="s">
        <v>68</v>
      </c>
      <c r="O53" s="1" t="s">
        <v>65</v>
      </c>
      <c r="P53" s="7">
        <v>8.3700000000000002E-8</v>
      </c>
      <c r="Q53" s="7">
        <v>8.3700000000000002E-8</v>
      </c>
      <c r="R53" s="7">
        <f t="shared" si="2"/>
        <v>4.1850000000000001E-8</v>
      </c>
      <c r="S53" s="1" t="s">
        <v>70</v>
      </c>
      <c r="T53" s="7">
        <v>1.3400000000000001E-7</v>
      </c>
      <c r="U53" s="1">
        <v>4</v>
      </c>
    </row>
    <row r="54" spans="1:21" x14ac:dyDescent="0.3">
      <c r="A54" s="6" t="s">
        <v>25</v>
      </c>
      <c r="B54" s="1" t="s">
        <v>26</v>
      </c>
      <c r="C54" s="1" t="s">
        <v>36</v>
      </c>
      <c r="D54" s="1" t="s">
        <v>28</v>
      </c>
      <c r="E54" s="1" t="s">
        <v>20</v>
      </c>
      <c r="F54" s="7">
        <v>4.1999999999999999E-8</v>
      </c>
      <c r="I54" s="8" t="s">
        <v>60</v>
      </c>
      <c r="J54" s="7">
        <v>1.35E-6</v>
      </c>
      <c r="K54" s="7">
        <v>1.35E-6</v>
      </c>
      <c r="L54" s="7">
        <v>1.35E-6</v>
      </c>
      <c r="M54" s="7">
        <v>1.5E-5</v>
      </c>
      <c r="N54" s="1" t="s">
        <v>68</v>
      </c>
      <c r="O54" s="1" t="s">
        <v>65</v>
      </c>
      <c r="P54" s="7">
        <v>8.3700000000000002E-8</v>
      </c>
      <c r="Q54" s="7">
        <v>8.3700000000000002E-8</v>
      </c>
      <c r="R54" s="7">
        <f t="shared" si="2"/>
        <v>4.1850000000000001E-8</v>
      </c>
      <c r="S54" s="1" t="s">
        <v>70</v>
      </c>
      <c r="T54" s="7">
        <v>1.3400000000000001E-7</v>
      </c>
      <c r="U54" s="1">
        <v>4</v>
      </c>
    </row>
    <row r="55" spans="1:21" x14ac:dyDescent="0.3">
      <c r="A55" s="6" t="s">
        <v>25</v>
      </c>
      <c r="B55" s="1" t="s">
        <v>26</v>
      </c>
      <c r="C55" s="1" t="s">
        <v>29</v>
      </c>
      <c r="D55" s="1" t="s">
        <v>37</v>
      </c>
      <c r="E55" s="1" t="s">
        <v>20</v>
      </c>
      <c r="F55" s="7">
        <v>4.9199999999999997E-8</v>
      </c>
      <c r="I55" s="8" t="s">
        <v>60</v>
      </c>
      <c r="J55" s="7">
        <v>1.35E-6</v>
      </c>
      <c r="K55" s="7">
        <v>1.35E-6</v>
      </c>
      <c r="L55" s="7">
        <v>1.35E-6</v>
      </c>
      <c r="M55" s="7">
        <v>1.5E-5</v>
      </c>
      <c r="N55" s="1" t="s">
        <v>68</v>
      </c>
      <c r="O55" s="1" t="s">
        <v>65</v>
      </c>
      <c r="P55" s="7">
        <v>8.3700000000000002E-8</v>
      </c>
      <c r="Q55" s="7">
        <v>8.3700000000000002E-8</v>
      </c>
      <c r="R55" s="7">
        <f t="shared" si="2"/>
        <v>4.1850000000000001E-8</v>
      </c>
      <c r="S55" s="1" t="s">
        <v>70</v>
      </c>
      <c r="T55" s="7">
        <v>1.3400000000000001E-7</v>
      </c>
      <c r="U55" s="1">
        <v>4</v>
      </c>
    </row>
    <row r="56" spans="1:21" x14ac:dyDescent="0.3">
      <c r="A56" s="6" t="s">
        <v>25</v>
      </c>
      <c r="B56" s="1" t="s">
        <v>26</v>
      </c>
      <c r="C56" s="1" t="s">
        <v>38</v>
      </c>
      <c r="D56" s="1" t="s">
        <v>37</v>
      </c>
      <c r="E56" s="1" t="s">
        <v>20</v>
      </c>
      <c r="F56" s="7">
        <v>5.1599999999999999E-8</v>
      </c>
      <c r="I56" s="8" t="s">
        <v>60</v>
      </c>
      <c r="J56" s="7">
        <v>1.35E-6</v>
      </c>
      <c r="K56" s="7">
        <v>1.35E-6</v>
      </c>
      <c r="L56" s="7">
        <v>1.35E-6</v>
      </c>
      <c r="M56" s="7">
        <v>1.5E-5</v>
      </c>
      <c r="N56" s="1" t="s">
        <v>68</v>
      </c>
      <c r="O56" s="1" t="s">
        <v>65</v>
      </c>
      <c r="P56" s="7">
        <v>8.3700000000000002E-8</v>
      </c>
      <c r="Q56" s="7">
        <v>8.3700000000000002E-8</v>
      </c>
      <c r="R56" s="7">
        <f t="shared" si="2"/>
        <v>4.1850000000000001E-8</v>
      </c>
      <c r="S56" s="1" t="s">
        <v>70</v>
      </c>
      <c r="T56" s="7">
        <v>1.3400000000000001E-7</v>
      </c>
      <c r="U56" s="1">
        <v>4</v>
      </c>
    </row>
    <row r="57" spans="1:21" x14ac:dyDescent="0.3">
      <c r="A57" s="6" t="s">
        <v>25</v>
      </c>
      <c r="B57" s="1" t="s">
        <v>26</v>
      </c>
      <c r="C57" s="1" t="s">
        <v>39</v>
      </c>
      <c r="D57" s="1" t="s">
        <v>37</v>
      </c>
      <c r="E57" s="1" t="s">
        <v>20</v>
      </c>
      <c r="F57" s="7">
        <v>5.7000000000000001E-8</v>
      </c>
      <c r="I57" s="8" t="s">
        <v>60</v>
      </c>
      <c r="J57" s="7">
        <v>1.35E-6</v>
      </c>
      <c r="K57" s="7">
        <v>1.35E-6</v>
      </c>
      <c r="L57" s="7">
        <v>1.35E-6</v>
      </c>
      <c r="M57" s="7">
        <v>1.5E-5</v>
      </c>
      <c r="N57" s="1" t="s">
        <v>68</v>
      </c>
      <c r="O57" s="1" t="s">
        <v>65</v>
      </c>
      <c r="P57" s="7">
        <v>8.3700000000000002E-8</v>
      </c>
      <c r="Q57" s="7">
        <v>8.3700000000000002E-8</v>
      </c>
      <c r="R57" s="7">
        <f t="shared" si="2"/>
        <v>4.1850000000000001E-8</v>
      </c>
      <c r="S57" s="1" t="s">
        <v>70</v>
      </c>
      <c r="T57" s="7">
        <v>1.3400000000000001E-7</v>
      </c>
      <c r="U57" s="1">
        <v>4</v>
      </c>
    </row>
    <row r="58" spans="1:21" x14ac:dyDescent="0.3">
      <c r="A58" s="6" t="s">
        <v>25</v>
      </c>
      <c r="B58" s="1" t="s">
        <v>26</v>
      </c>
      <c r="C58" s="1" t="s">
        <v>31</v>
      </c>
      <c r="D58" s="1" t="s">
        <v>37</v>
      </c>
      <c r="E58" s="1" t="s">
        <v>20</v>
      </c>
      <c r="F58" s="7">
        <v>7.1999999999999996E-8</v>
      </c>
      <c r="I58" s="8" t="s">
        <v>60</v>
      </c>
      <c r="J58" s="7">
        <v>1.35E-6</v>
      </c>
      <c r="K58" s="7">
        <v>1.35E-6</v>
      </c>
      <c r="L58" s="7">
        <v>1.35E-6</v>
      </c>
      <c r="M58" s="7">
        <v>1.5E-5</v>
      </c>
      <c r="N58" s="1" t="s">
        <v>68</v>
      </c>
      <c r="O58" s="1" t="s">
        <v>65</v>
      </c>
      <c r="P58" s="7">
        <v>8.3700000000000002E-8</v>
      </c>
      <c r="Q58" s="7">
        <v>8.3700000000000002E-8</v>
      </c>
      <c r="R58" s="7">
        <f t="shared" si="2"/>
        <v>4.1850000000000001E-8</v>
      </c>
      <c r="S58" s="1" t="s">
        <v>70</v>
      </c>
      <c r="T58" s="7">
        <v>1.3400000000000001E-7</v>
      </c>
      <c r="U58" s="1">
        <v>4</v>
      </c>
    </row>
    <row r="59" spans="1:21" x14ac:dyDescent="0.3">
      <c r="A59" s="6" t="s">
        <v>25</v>
      </c>
      <c r="B59" s="1" t="s">
        <v>26</v>
      </c>
      <c r="C59" s="1" t="s">
        <v>46</v>
      </c>
      <c r="D59" s="1" t="s">
        <v>37</v>
      </c>
      <c r="E59" s="1" t="s">
        <v>20</v>
      </c>
      <c r="F59" s="7">
        <v>9.5999999999999999E-8</v>
      </c>
      <c r="I59" s="8" t="s">
        <v>60</v>
      </c>
      <c r="J59" s="7">
        <v>1.35E-6</v>
      </c>
      <c r="K59" s="7">
        <v>1.35E-6</v>
      </c>
      <c r="L59" s="7">
        <v>1.35E-6</v>
      </c>
      <c r="M59" s="7">
        <v>1.5E-5</v>
      </c>
      <c r="N59" s="1" t="s">
        <v>68</v>
      </c>
      <c r="O59" s="1" t="s">
        <v>65</v>
      </c>
      <c r="P59" s="7">
        <v>8.3700000000000002E-8</v>
      </c>
      <c r="Q59" s="7">
        <v>8.3700000000000002E-8</v>
      </c>
      <c r="R59" s="7">
        <f t="shared" si="2"/>
        <v>4.1850000000000001E-8</v>
      </c>
      <c r="S59" s="1" t="s">
        <v>70</v>
      </c>
      <c r="T59" s="7">
        <v>1.3400000000000001E-7</v>
      </c>
      <c r="U59" s="1">
        <v>4</v>
      </c>
    </row>
    <row r="60" spans="1:21" x14ac:dyDescent="0.3">
      <c r="A60" s="6" t="s">
        <v>49</v>
      </c>
      <c r="B60" s="1" t="s">
        <v>26</v>
      </c>
      <c r="C60" s="1" t="s">
        <v>50</v>
      </c>
      <c r="D60" s="1" t="s">
        <v>55</v>
      </c>
      <c r="E60" s="1" t="s">
        <v>20</v>
      </c>
      <c r="F60" s="7">
        <v>3.6600000000000002E-7</v>
      </c>
      <c r="I60" s="8" t="s">
        <v>60</v>
      </c>
      <c r="J60" s="7">
        <v>1.35E-6</v>
      </c>
      <c r="K60" s="7">
        <v>1.35E-6</v>
      </c>
      <c r="L60" s="7">
        <v>1.35E-6</v>
      </c>
      <c r="M60" s="7">
        <v>1.5E-5</v>
      </c>
      <c r="N60" s="1" t="s">
        <v>68</v>
      </c>
      <c r="O60" s="1" t="s">
        <v>65</v>
      </c>
      <c r="P60" s="7">
        <v>8.3700000000000002E-8</v>
      </c>
      <c r="Q60" s="7">
        <v>8.3700000000000002E-8</v>
      </c>
      <c r="R60" s="7">
        <f t="shared" si="2"/>
        <v>4.1850000000000001E-8</v>
      </c>
      <c r="S60" s="1" t="s">
        <v>70</v>
      </c>
      <c r="T60" s="7">
        <v>1.3400000000000001E-7</v>
      </c>
      <c r="U60" s="1">
        <v>4</v>
      </c>
    </row>
    <row r="61" spans="1:21" x14ac:dyDescent="0.3">
      <c r="A61" s="6" t="s">
        <v>47</v>
      </c>
      <c r="B61" s="1" t="s">
        <v>26</v>
      </c>
      <c r="C61" s="1" t="s">
        <v>48</v>
      </c>
      <c r="D61" s="1" t="s">
        <v>74</v>
      </c>
      <c r="E61" s="1" t="s">
        <v>20</v>
      </c>
      <c r="F61" s="7">
        <v>1.18E-7</v>
      </c>
      <c r="I61" s="8" t="s">
        <v>60</v>
      </c>
      <c r="J61" s="7">
        <v>1.35E-6</v>
      </c>
      <c r="K61" s="7">
        <v>1.35E-6</v>
      </c>
      <c r="L61" s="7">
        <v>1.35E-6</v>
      </c>
      <c r="M61" s="7">
        <v>1.5E-5</v>
      </c>
      <c r="N61" s="1" t="s">
        <v>68</v>
      </c>
      <c r="O61" s="1" t="s">
        <v>66</v>
      </c>
      <c r="P61" s="7">
        <v>7.7999999999999997E-8</v>
      </c>
      <c r="Q61" s="7">
        <v>1.11E-7</v>
      </c>
      <c r="R61" s="1">
        <f t="shared" ref="R61" si="3">(Q61*P61*P61)^(1/3)</f>
        <v>8.7734565186482398E-8</v>
      </c>
      <c r="S61" s="1" t="s">
        <v>70</v>
      </c>
      <c r="T61" s="7">
        <v>1.1300000000000001E-7</v>
      </c>
      <c r="U61" s="1">
        <v>7</v>
      </c>
    </row>
    <row r="62" spans="1:21" x14ac:dyDescent="0.3">
      <c r="A62" s="6" t="s">
        <v>82</v>
      </c>
      <c r="B62" s="1" t="s">
        <v>13</v>
      </c>
      <c r="D62" s="1" t="s">
        <v>84</v>
      </c>
      <c r="F62" s="7">
        <v>1.2599999999999999E-7</v>
      </c>
      <c r="H62" s="1">
        <v>37</v>
      </c>
      <c r="I62" s="8" t="s">
        <v>56</v>
      </c>
      <c r="J62" s="7">
        <v>7.9999999999999996E-7</v>
      </c>
      <c r="K62" s="7">
        <v>3.8E-6</v>
      </c>
      <c r="L62" s="1">
        <f t="shared" ref="L62:L77" si="4">(K62*J62*J62)^(1/3)</f>
        <v>1.3447901627195862E-6</v>
      </c>
      <c r="M62" s="7">
        <v>3.0000000000000001E-6</v>
      </c>
      <c r="N62" s="1">
        <v>1</v>
      </c>
      <c r="O62" s="1" t="s">
        <v>66</v>
      </c>
      <c r="P62" s="7">
        <v>7.7999999999999997E-8</v>
      </c>
      <c r="Q62" s="7">
        <v>1.11E-7</v>
      </c>
      <c r="R62" s="1">
        <f t="shared" ref="R62" si="5">(Q62*P62*P62)^(1/3)</f>
        <v>8.7734565186482398E-8</v>
      </c>
      <c r="S62" s="1" t="s">
        <v>70</v>
      </c>
      <c r="T62" s="7">
        <v>1.1300000000000001E-7</v>
      </c>
      <c r="U62" s="1">
        <v>5</v>
      </c>
    </row>
    <row r="63" spans="1:21" x14ac:dyDescent="0.3">
      <c r="A63" s="6" t="s">
        <v>43</v>
      </c>
      <c r="B63" s="1" t="s">
        <v>22</v>
      </c>
      <c r="C63" s="1" t="s">
        <v>44</v>
      </c>
      <c r="D63" s="1" t="s">
        <v>45</v>
      </c>
      <c r="E63" s="1" t="s">
        <v>20</v>
      </c>
      <c r="F63" s="7">
        <v>4.1035000000000003E-8</v>
      </c>
      <c r="I63" s="8" t="s">
        <v>64</v>
      </c>
      <c r="J63" s="7">
        <v>8.6000000000000002E-7</v>
      </c>
      <c r="K63" s="7">
        <v>6.6000000000000003E-7</v>
      </c>
      <c r="L63" s="1">
        <f t="shared" si="4"/>
        <v>7.8737256693346375E-7</v>
      </c>
      <c r="M63" s="7">
        <v>6.7000000000000002E-5</v>
      </c>
      <c r="N63" s="1">
        <v>1</v>
      </c>
      <c r="O63" s="1" t="s">
        <v>65</v>
      </c>
      <c r="P63" s="7">
        <v>8.3700000000000002E-8</v>
      </c>
      <c r="Q63" s="7">
        <v>8.3700000000000002E-8</v>
      </c>
      <c r="R63" s="7">
        <f t="shared" ref="R63" si="6">Q63/2</f>
        <v>4.1850000000000001E-8</v>
      </c>
      <c r="S63" s="1" t="s">
        <v>70</v>
      </c>
      <c r="T63" s="7">
        <v>1.3400000000000001E-7</v>
      </c>
      <c r="U63" s="1">
        <v>6</v>
      </c>
    </row>
    <row r="64" spans="1:21" x14ac:dyDescent="0.3">
      <c r="A64" s="6" t="s">
        <v>85</v>
      </c>
      <c r="B64" s="1" t="s">
        <v>13</v>
      </c>
      <c r="D64" s="1" t="s">
        <v>19</v>
      </c>
      <c r="F64" s="7">
        <v>1.33E-6</v>
      </c>
      <c r="H64" s="1">
        <v>24</v>
      </c>
      <c r="I64" s="8" t="s">
        <v>56</v>
      </c>
      <c r="J64" s="7">
        <v>7.9999999999999996E-7</v>
      </c>
      <c r="K64" s="7">
        <v>3.8E-6</v>
      </c>
      <c r="L64" s="1">
        <f t="shared" ref="L64:L66" si="7">(K64*J64*J64)^(1/3)</f>
        <v>1.3447901627195862E-6</v>
      </c>
      <c r="M64" s="7">
        <v>3.0000000000000001E-6</v>
      </c>
      <c r="N64" s="1">
        <v>1</v>
      </c>
      <c r="O64" s="1" t="s">
        <v>66</v>
      </c>
      <c r="P64" s="7">
        <v>7.7999999999999997E-8</v>
      </c>
      <c r="Q64" s="7">
        <v>1.11E-7</v>
      </c>
      <c r="R64" s="1">
        <f t="shared" ref="R64:R70" si="8">(Q64*P64*P64)^(1/3)</f>
        <v>8.7734565186482398E-8</v>
      </c>
      <c r="S64" s="1" t="s">
        <v>70</v>
      </c>
      <c r="T64" s="7">
        <v>1.1300000000000001E-7</v>
      </c>
      <c r="U64" s="1">
        <v>0</v>
      </c>
    </row>
    <row r="65" spans="1:21" x14ac:dyDescent="0.3">
      <c r="A65" s="6" t="s">
        <v>85</v>
      </c>
      <c r="B65" s="1" t="s">
        <v>13</v>
      </c>
      <c r="D65" s="1" t="s">
        <v>19</v>
      </c>
      <c r="F65" s="7">
        <v>2.4399999999999999E-6</v>
      </c>
      <c r="H65" s="1">
        <v>24</v>
      </c>
      <c r="I65" s="8" t="s">
        <v>56</v>
      </c>
      <c r="J65" s="7">
        <v>7.9999999999999996E-7</v>
      </c>
      <c r="K65" s="7">
        <v>3.8E-6</v>
      </c>
      <c r="L65" s="1">
        <f t="shared" si="7"/>
        <v>1.3447901627195862E-6</v>
      </c>
      <c r="M65" s="7">
        <v>3.0000000000000001E-6</v>
      </c>
      <c r="N65" s="1">
        <v>1</v>
      </c>
      <c r="O65" s="1" t="s">
        <v>66</v>
      </c>
      <c r="P65" s="7">
        <v>7.7999999999999997E-8</v>
      </c>
      <c r="Q65" s="7">
        <v>1.11E-7</v>
      </c>
      <c r="R65" s="1">
        <f t="shared" si="8"/>
        <v>8.7734565186482398E-8</v>
      </c>
      <c r="S65" s="1" t="s">
        <v>70</v>
      </c>
      <c r="T65" s="7">
        <v>1.1300000000000001E-7</v>
      </c>
      <c r="U65" s="1">
        <v>0</v>
      </c>
    </row>
    <row r="66" spans="1:21" x14ac:dyDescent="0.3">
      <c r="A66" s="6" t="s">
        <v>85</v>
      </c>
      <c r="B66" s="1" t="s">
        <v>13</v>
      </c>
      <c r="D66" s="1" t="s">
        <v>19</v>
      </c>
      <c r="F66" s="7">
        <v>2.628E-7</v>
      </c>
      <c r="H66" s="1">
        <v>24</v>
      </c>
      <c r="I66" s="8" t="s">
        <v>56</v>
      </c>
      <c r="J66" s="7">
        <v>7.9999999999999996E-7</v>
      </c>
      <c r="K66" s="7">
        <v>3.8E-6</v>
      </c>
      <c r="L66" s="1">
        <f t="shared" si="7"/>
        <v>1.3447901627195862E-6</v>
      </c>
      <c r="M66" s="7">
        <v>3.0000000000000001E-6</v>
      </c>
      <c r="N66" s="1">
        <v>1</v>
      </c>
      <c r="O66" s="1" t="s">
        <v>66</v>
      </c>
      <c r="P66" s="7">
        <v>7.7999999999999997E-8</v>
      </c>
      <c r="Q66" s="7">
        <v>1.11E-7</v>
      </c>
      <c r="R66" s="1">
        <f t="shared" si="8"/>
        <v>8.7734565186482398E-8</v>
      </c>
      <c r="S66" s="1" t="s">
        <v>70</v>
      </c>
      <c r="T66" s="7">
        <v>1.1300000000000001E-7</v>
      </c>
      <c r="U66" s="1">
        <v>0</v>
      </c>
    </row>
    <row r="67" spans="1:21" x14ac:dyDescent="0.3">
      <c r="A67" s="6" t="s">
        <v>85</v>
      </c>
      <c r="B67" s="1" t="s">
        <v>13</v>
      </c>
      <c r="D67" s="1" t="s">
        <v>19</v>
      </c>
      <c r="F67" s="7">
        <v>1.2240000000000001E-7</v>
      </c>
      <c r="H67" s="1">
        <v>24</v>
      </c>
      <c r="I67" s="8" t="s">
        <v>56</v>
      </c>
      <c r="J67" s="7">
        <v>7.9999999999999996E-7</v>
      </c>
      <c r="K67" s="7">
        <v>3.8E-6</v>
      </c>
      <c r="L67" s="1">
        <f t="shared" si="4"/>
        <v>1.3447901627195862E-6</v>
      </c>
      <c r="M67" s="7">
        <v>3.0000000000000001E-6</v>
      </c>
      <c r="N67" s="1">
        <v>1</v>
      </c>
      <c r="O67" s="1" t="s">
        <v>66</v>
      </c>
      <c r="P67" s="7">
        <v>7.7999999999999997E-8</v>
      </c>
      <c r="Q67" s="7">
        <v>1.11E-7</v>
      </c>
      <c r="R67" s="1">
        <f t="shared" si="8"/>
        <v>8.7734565186482398E-8</v>
      </c>
      <c r="S67" s="1" t="s">
        <v>70</v>
      </c>
      <c r="T67" s="7">
        <v>1.1300000000000001E-7</v>
      </c>
      <c r="U67" s="1">
        <v>0</v>
      </c>
    </row>
    <row r="68" spans="1:21" x14ac:dyDescent="0.3">
      <c r="A68" s="6" t="s">
        <v>85</v>
      </c>
      <c r="B68" s="1" t="s">
        <v>13</v>
      </c>
      <c r="D68" s="1" t="s">
        <v>19</v>
      </c>
      <c r="F68" s="7">
        <v>5.4000000000000002E-7</v>
      </c>
      <c r="H68" s="1">
        <v>37</v>
      </c>
      <c r="I68" s="8" t="s">
        <v>56</v>
      </c>
      <c r="J68" s="7">
        <v>7.9999999999999996E-7</v>
      </c>
      <c r="K68" s="7">
        <v>3.8E-6</v>
      </c>
      <c r="L68" s="1">
        <f t="shared" ref="L68" si="9">(K68*J68*J68)^(1/3)</f>
        <v>1.3447901627195862E-6</v>
      </c>
      <c r="M68" s="7">
        <v>3.0000000000000001E-6</v>
      </c>
      <c r="N68" s="1">
        <v>1</v>
      </c>
      <c r="O68" s="1" t="s">
        <v>66</v>
      </c>
      <c r="P68" s="7">
        <v>7.7999999999999997E-8</v>
      </c>
      <c r="Q68" s="7">
        <v>1.11E-7</v>
      </c>
      <c r="R68" s="1">
        <f t="shared" si="8"/>
        <v>8.7734565186482398E-8</v>
      </c>
      <c r="S68" s="1" t="s">
        <v>70</v>
      </c>
      <c r="T68" s="7">
        <v>1.1300000000000001E-7</v>
      </c>
      <c r="U68" s="1">
        <v>5</v>
      </c>
    </row>
    <row r="69" spans="1:21" x14ac:dyDescent="0.3">
      <c r="A69" s="6" t="s">
        <v>82</v>
      </c>
      <c r="B69" s="1" t="s">
        <v>13</v>
      </c>
      <c r="D69" s="1" t="s">
        <v>19</v>
      </c>
      <c r="F69" s="7">
        <v>1.86E-7</v>
      </c>
      <c r="H69" s="1">
        <v>37</v>
      </c>
      <c r="I69" s="8" t="s">
        <v>56</v>
      </c>
      <c r="J69" s="7">
        <v>7.9999999999999996E-7</v>
      </c>
      <c r="K69" s="7">
        <v>3.8E-6</v>
      </c>
      <c r="L69" s="1">
        <f>(K69*J69*J69)^(1/3)</f>
        <v>1.3447901627195862E-6</v>
      </c>
      <c r="M69" s="7">
        <v>3.0000000000000001E-6</v>
      </c>
      <c r="N69" s="1">
        <v>1</v>
      </c>
      <c r="O69" s="1" t="s">
        <v>66</v>
      </c>
      <c r="P69" s="7">
        <v>7.7999999999999997E-8</v>
      </c>
      <c r="Q69" s="7">
        <v>1.11E-7</v>
      </c>
      <c r="R69" s="1">
        <f t="shared" si="8"/>
        <v>8.7734565186482398E-8</v>
      </c>
      <c r="S69" s="1" t="s">
        <v>70</v>
      </c>
      <c r="T69" s="7">
        <v>1.1300000000000001E-7</v>
      </c>
      <c r="U69" s="1">
        <v>5</v>
      </c>
    </row>
    <row r="70" spans="1:21" x14ac:dyDescent="0.3">
      <c r="A70" s="6" t="s">
        <v>86</v>
      </c>
      <c r="B70" s="1" t="s">
        <v>13</v>
      </c>
      <c r="D70" s="1" t="s">
        <v>19</v>
      </c>
      <c r="F70" s="7">
        <v>1.3799999999999999E-7</v>
      </c>
      <c r="H70" s="1">
        <v>37</v>
      </c>
      <c r="I70" s="8" t="s">
        <v>56</v>
      </c>
      <c r="J70" s="7">
        <v>7.9999999999999996E-7</v>
      </c>
      <c r="K70" s="7">
        <v>3.8E-6</v>
      </c>
      <c r="L70" s="1">
        <f>(K70*J70*J70)^(1/3)</f>
        <v>1.3447901627195862E-6</v>
      </c>
      <c r="M70" s="7">
        <v>3.0000000000000001E-6</v>
      </c>
      <c r="N70" s="1">
        <v>1</v>
      </c>
      <c r="O70" s="1" t="s">
        <v>66</v>
      </c>
      <c r="P70" s="7">
        <v>7.7999999999999997E-8</v>
      </c>
      <c r="Q70" s="7">
        <v>1.11E-7</v>
      </c>
      <c r="R70" s="1">
        <f t="shared" si="8"/>
        <v>8.7734565186482398E-8</v>
      </c>
      <c r="S70" s="1" t="s">
        <v>70</v>
      </c>
      <c r="T70" s="7">
        <v>1.1300000000000001E-7</v>
      </c>
      <c r="U70" s="1">
        <v>5</v>
      </c>
    </row>
    <row r="71" spans="1:21" x14ac:dyDescent="0.3">
      <c r="A71" s="6" t="s">
        <v>76</v>
      </c>
      <c r="B71" s="1" t="s">
        <v>77</v>
      </c>
      <c r="C71" s="1" t="s">
        <v>78</v>
      </c>
      <c r="D71" s="1" t="s">
        <v>48</v>
      </c>
      <c r="E71" s="1" t="s">
        <v>79</v>
      </c>
      <c r="F71" s="7">
        <v>1.7730000000000001E-8</v>
      </c>
      <c r="H71" s="1">
        <v>4.9000000000000004</v>
      </c>
      <c r="I71" s="8" t="s">
        <v>56</v>
      </c>
      <c r="J71" s="7">
        <v>7.5000000000000002E-7</v>
      </c>
      <c r="K71" s="7">
        <v>3.0000000000000001E-6</v>
      </c>
      <c r="L71" s="1">
        <f t="shared" si="4"/>
        <v>1.1905507889761507E-6</v>
      </c>
      <c r="M71" s="7">
        <v>8.4999999999999999E-6</v>
      </c>
      <c r="N71" s="1">
        <v>1</v>
      </c>
      <c r="O71" s="1" t="s">
        <v>65</v>
      </c>
      <c r="P71" s="7">
        <v>5.9999999999999995E-8</v>
      </c>
      <c r="Q71" s="7">
        <v>5.9999999999999995E-8</v>
      </c>
      <c r="R71" s="7">
        <v>2.9999999999999997E-8</v>
      </c>
      <c r="S71" s="1" t="s">
        <v>73</v>
      </c>
      <c r="T71" s="7">
        <v>1.89E-8</v>
      </c>
      <c r="U71" s="1">
        <v>0</v>
      </c>
    </row>
    <row r="72" spans="1:21" x14ac:dyDescent="0.3">
      <c r="A72" s="6" t="s">
        <v>76</v>
      </c>
      <c r="B72" s="1" t="s">
        <v>77</v>
      </c>
      <c r="C72" s="1" t="s">
        <v>78</v>
      </c>
      <c r="D72" s="1" t="s">
        <v>48</v>
      </c>
      <c r="E72" s="1" t="s">
        <v>79</v>
      </c>
      <c r="F72" s="7">
        <v>1.8259999999999999E-8</v>
      </c>
      <c r="H72" s="1">
        <v>16.600000000000001</v>
      </c>
      <c r="I72" s="8" t="s">
        <v>56</v>
      </c>
      <c r="J72" s="7">
        <v>7.5000000000000002E-7</v>
      </c>
      <c r="K72" s="7">
        <v>3.0000000000000001E-6</v>
      </c>
      <c r="L72" s="1">
        <f t="shared" si="4"/>
        <v>1.1905507889761507E-6</v>
      </c>
      <c r="M72" s="7">
        <v>8.4999999999999999E-6</v>
      </c>
      <c r="N72" s="1">
        <v>1</v>
      </c>
      <c r="O72" s="1" t="s">
        <v>65</v>
      </c>
      <c r="P72" s="7">
        <v>5.9999999999999995E-8</v>
      </c>
      <c r="Q72" s="7">
        <v>5.9999999999999995E-8</v>
      </c>
      <c r="R72" s="7">
        <v>2.9999999999999997E-8</v>
      </c>
      <c r="S72" s="1" t="s">
        <v>73</v>
      </c>
      <c r="T72" s="7">
        <v>1.89E-8</v>
      </c>
      <c r="U72" s="1">
        <v>0</v>
      </c>
    </row>
    <row r="73" spans="1:21" x14ac:dyDescent="0.3">
      <c r="A73" s="6" t="s">
        <v>76</v>
      </c>
      <c r="B73" s="1" t="s">
        <v>77</v>
      </c>
      <c r="C73" s="1" t="s">
        <v>78</v>
      </c>
      <c r="D73" s="1" t="s">
        <v>48</v>
      </c>
      <c r="E73" s="1" t="s">
        <v>79</v>
      </c>
      <c r="F73" s="7">
        <v>1.859E-8</v>
      </c>
      <c r="H73" s="1">
        <v>25.1</v>
      </c>
      <c r="I73" s="8" t="s">
        <v>56</v>
      </c>
      <c r="J73" s="7">
        <v>7.5000000000000002E-7</v>
      </c>
      <c r="K73" s="7">
        <v>3.0000000000000001E-6</v>
      </c>
      <c r="L73" s="1">
        <f t="shared" si="4"/>
        <v>1.1905507889761507E-6</v>
      </c>
      <c r="M73" s="7">
        <v>8.4999999999999999E-6</v>
      </c>
      <c r="N73" s="1">
        <v>1</v>
      </c>
      <c r="O73" s="1" t="s">
        <v>65</v>
      </c>
      <c r="P73" s="7">
        <v>5.9999999999999995E-8</v>
      </c>
      <c r="Q73" s="7">
        <v>5.9999999999999995E-8</v>
      </c>
      <c r="R73" s="7">
        <v>2.9999999999999997E-8</v>
      </c>
      <c r="S73" s="1" t="s">
        <v>73</v>
      </c>
      <c r="T73" s="7">
        <v>1.89E-8</v>
      </c>
      <c r="U73" s="1">
        <v>0</v>
      </c>
    </row>
    <row r="74" spans="1:21" x14ac:dyDescent="0.3">
      <c r="A74" s="6" t="s">
        <v>76</v>
      </c>
      <c r="B74" s="1" t="s">
        <v>77</v>
      </c>
      <c r="C74" s="1" t="s">
        <v>78</v>
      </c>
      <c r="D74" s="1" t="s">
        <v>48</v>
      </c>
      <c r="E74" s="1" t="s">
        <v>79</v>
      </c>
      <c r="F74" s="7">
        <v>1.9079999999999999E-8</v>
      </c>
      <c r="H74" s="1">
        <v>36.9</v>
      </c>
      <c r="I74" s="8" t="s">
        <v>56</v>
      </c>
      <c r="J74" s="7">
        <v>7.5000000000000002E-7</v>
      </c>
      <c r="K74" s="7">
        <v>3.0000000000000001E-6</v>
      </c>
      <c r="L74" s="1">
        <f t="shared" si="4"/>
        <v>1.1905507889761507E-6</v>
      </c>
      <c r="M74" s="7">
        <v>8.4999999999999999E-6</v>
      </c>
      <c r="N74" s="1">
        <v>1</v>
      </c>
      <c r="O74" s="1" t="s">
        <v>65</v>
      </c>
      <c r="P74" s="7">
        <v>5.9999999999999995E-8</v>
      </c>
      <c r="Q74" s="7">
        <v>5.9999999999999995E-8</v>
      </c>
      <c r="R74" s="7">
        <v>2.9999999999999997E-8</v>
      </c>
      <c r="S74" s="1" t="s">
        <v>73</v>
      </c>
      <c r="T74" s="7">
        <v>1.89E-8</v>
      </c>
      <c r="U74" s="1">
        <v>8</v>
      </c>
    </row>
    <row r="75" spans="1:21" x14ac:dyDescent="0.3">
      <c r="A75" s="6" t="s">
        <v>76</v>
      </c>
      <c r="B75" s="1" t="s">
        <v>77</v>
      </c>
      <c r="C75" s="1" t="s">
        <v>78</v>
      </c>
      <c r="D75" s="1" t="s">
        <v>48</v>
      </c>
      <c r="E75" s="1" t="s">
        <v>79</v>
      </c>
      <c r="F75" s="7">
        <v>1.9440000000000001E-8</v>
      </c>
      <c r="H75" s="1">
        <v>44.4</v>
      </c>
      <c r="I75" s="8" t="s">
        <v>56</v>
      </c>
      <c r="J75" s="7">
        <v>7.5000000000000002E-7</v>
      </c>
      <c r="K75" s="7">
        <v>3.0000000000000001E-6</v>
      </c>
      <c r="L75" s="1">
        <f t="shared" si="4"/>
        <v>1.1905507889761507E-6</v>
      </c>
      <c r="M75" s="7">
        <v>8.4999999999999999E-6</v>
      </c>
      <c r="N75" s="1">
        <v>1</v>
      </c>
      <c r="O75" s="1" t="s">
        <v>65</v>
      </c>
      <c r="P75" s="7">
        <v>5.9999999999999995E-8</v>
      </c>
      <c r="Q75" s="7">
        <v>5.9999999999999995E-8</v>
      </c>
      <c r="R75" s="7">
        <v>2.9999999999999997E-8</v>
      </c>
      <c r="S75" s="1" t="s">
        <v>73</v>
      </c>
      <c r="T75" s="7">
        <v>1.89E-8</v>
      </c>
      <c r="U75" s="1">
        <v>0</v>
      </c>
    </row>
    <row r="76" spans="1:21" x14ac:dyDescent="0.3">
      <c r="A76" s="6" t="s">
        <v>40</v>
      </c>
      <c r="B76" s="1" t="s">
        <v>80</v>
      </c>
      <c r="C76" s="1" t="s">
        <v>41</v>
      </c>
      <c r="D76" s="1" t="s">
        <v>42</v>
      </c>
      <c r="E76" s="1" t="s">
        <v>20</v>
      </c>
      <c r="F76" s="7">
        <v>6.1200000000000005E-8</v>
      </c>
      <c r="I76" s="8" t="s">
        <v>63</v>
      </c>
      <c r="J76" s="7">
        <v>6.5000000000000002E-7</v>
      </c>
      <c r="K76" s="7">
        <v>1.9999999999999999E-6</v>
      </c>
      <c r="L76" s="1">
        <f t="shared" si="4"/>
        <v>9.454071945982809E-7</v>
      </c>
      <c r="M76" s="7">
        <v>3.9499999999999998E-5</v>
      </c>
      <c r="N76" s="1">
        <v>7.3</v>
      </c>
      <c r="O76" s="1" t="s">
        <v>65</v>
      </c>
      <c r="P76" s="7">
        <v>5.9999999999999995E-8</v>
      </c>
      <c r="Q76" s="7">
        <v>5.9999999999999995E-8</v>
      </c>
      <c r="R76" s="7">
        <v>2.9999999999999997E-8</v>
      </c>
      <c r="S76" s="1" t="s">
        <v>73</v>
      </c>
      <c r="T76" s="7">
        <v>1.89E-8</v>
      </c>
      <c r="U76" s="1">
        <v>9</v>
      </c>
    </row>
    <row r="77" spans="1:21" x14ac:dyDescent="0.3">
      <c r="A77" s="6" t="s">
        <v>82</v>
      </c>
      <c r="B77" s="1" t="s">
        <v>13</v>
      </c>
      <c r="D77" s="1" t="s">
        <v>83</v>
      </c>
      <c r="F77" s="7">
        <v>1.8E-7</v>
      </c>
      <c r="H77" s="1">
        <v>37</v>
      </c>
      <c r="I77" s="8" t="s">
        <v>56</v>
      </c>
      <c r="J77" s="7">
        <v>7.9999999999999996E-7</v>
      </c>
      <c r="K77" s="7">
        <v>3.8E-6</v>
      </c>
      <c r="L77" s="1">
        <f t="shared" si="4"/>
        <v>1.3447901627195862E-6</v>
      </c>
      <c r="M77" s="7">
        <v>3.0000000000000001E-6</v>
      </c>
      <c r="N77" s="1">
        <v>1</v>
      </c>
      <c r="O77" s="1" t="s">
        <v>65</v>
      </c>
      <c r="P77" s="7">
        <v>5.9999999999999995E-8</v>
      </c>
      <c r="Q77" s="7">
        <v>5.9999999999999995E-8</v>
      </c>
      <c r="R77" s="7">
        <v>2.9999999999999997E-8</v>
      </c>
      <c r="S77" s="1" t="s">
        <v>73</v>
      </c>
      <c r="T77" s="7">
        <v>1.89E-8</v>
      </c>
      <c r="U77" s="1">
        <v>10</v>
      </c>
    </row>
    <row r="78" spans="1:21" x14ac:dyDescent="0.3">
      <c r="A78" s="6" t="s">
        <v>21</v>
      </c>
      <c r="B78" s="1" t="s">
        <v>22</v>
      </c>
      <c r="C78" s="1" t="s">
        <v>23</v>
      </c>
      <c r="D78" s="1" t="s">
        <v>24</v>
      </c>
      <c r="E78" s="1" t="s">
        <v>20</v>
      </c>
      <c r="F78" s="7">
        <v>1.0600000000000001E-8</v>
      </c>
      <c r="I78" s="8" t="s">
        <v>63</v>
      </c>
      <c r="J78" s="7">
        <v>8.6000000000000002E-7</v>
      </c>
      <c r="K78" s="7">
        <v>6.6000000000000003E-7</v>
      </c>
      <c r="L78" s="1">
        <f t="shared" ref="L78:L79" si="10">(K78*J78*J78)^(1/3)</f>
        <v>7.8737256693346375E-7</v>
      </c>
      <c r="M78" s="7">
        <v>6.7000000000000002E-5</v>
      </c>
      <c r="N78" s="1">
        <v>1</v>
      </c>
      <c r="O78" s="1" t="s">
        <v>65</v>
      </c>
      <c r="P78" s="7">
        <v>5.9999999999999995E-8</v>
      </c>
      <c r="Q78" s="7">
        <v>5.9999999999999995E-8</v>
      </c>
      <c r="R78" s="7">
        <v>2.9999999999999997E-8</v>
      </c>
      <c r="S78" s="1" t="s">
        <v>73</v>
      </c>
      <c r="T78" s="7">
        <v>1.89E-8</v>
      </c>
      <c r="U78" s="1">
        <v>9</v>
      </c>
    </row>
    <row r="79" spans="1:21" x14ac:dyDescent="0.3">
      <c r="A79" s="6" t="s">
        <v>85</v>
      </c>
      <c r="B79" s="1" t="s">
        <v>13</v>
      </c>
      <c r="D79" s="1" t="s">
        <v>87</v>
      </c>
      <c r="F79" s="7">
        <v>3.4200000000000002E-7</v>
      </c>
      <c r="H79" s="1">
        <v>37</v>
      </c>
      <c r="I79" s="8" t="s">
        <v>56</v>
      </c>
      <c r="J79" s="7">
        <v>7.9999999999999996E-7</v>
      </c>
      <c r="K79" s="7">
        <v>3.8E-6</v>
      </c>
      <c r="L79" s="1">
        <f t="shared" si="10"/>
        <v>1.3447901627195862E-6</v>
      </c>
      <c r="M79" s="7">
        <v>3.0000000000000001E-6</v>
      </c>
      <c r="N79" s="1">
        <v>1</v>
      </c>
      <c r="O79" s="1" t="s">
        <v>65</v>
      </c>
      <c r="P79" s="7">
        <v>5.9999999999999995E-8</v>
      </c>
      <c r="Q79" s="7">
        <v>5.9999999999999995E-8</v>
      </c>
      <c r="R79" s="7">
        <v>2.9999999999999997E-8</v>
      </c>
      <c r="S79" s="1" t="s">
        <v>73</v>
      </c>
      <c r="T79" s="7">
        <v>1.7E-8</v>
      </c>
      <c r="U79" s="1">
        <v>10</v>
      </c>
    </row>
    <row r="80" spans="1:21" x14ac:dyDescent="0.3">
      <c r="A80" s="6" t="s">
        <v>85</v>
      </c>
      <c r="B80" s="1" t="s">
        <v>13</v>
      </c>
      <c r="D80" s="1" t="s">
        <v>87</v>
      </c>
      <c r="F80" s="7">
        <v>3.72E-7</v>
      </c>
      <c r="H80" s="1">
        <v>37</v>
      </c>
      <c r="I80" s="8" t="s">
        <v>56</v>
      </c>
      <c r="J80" s="7">
        <v>7.9999999999999996E-7</v>
      </c>
      <c r="K80" s="7">
        <v>3.8E-6</v>
      </c>
      <c r="L80" s="1">
        <f t="shared" ref="L80:L81" si="11">(K80*J80*J80)^(1/3)</f>
        <v>1.3447901627195862E-6</v>
      </c>
      <c r="M80" s="7">
        <v>3.0000000000000001E-6</v>
      </c>
      <c r="N80" s="1">
        <v>1</v>
      </c>
      <c r="O80" s="1" t="s">
        <v>65</v>
      </c>
      <c r="P80" s="7">
        <v>5.9999999999999995E-8</v>
      </c>
      <c r="Q80" s="7">
        <v>5.9999999999999995E-8</v>
      </c>
      <c r="R80" s="7">
        <v>2.9999999999999997E-8</v>
      </c>
      <c r="S80" s="1" t="s">
        <v>73</v>
      </c>
      <c r="T80" s="7">
        <v>1.7E-8</v>
      </c>
      <c r="U80" s="1">
        <v>10</v>
      </c>
    </row>
    <row r="81" spans="1:21" x14ac:dyDescent="0.3">
      <c r="A81" s="6" t="s">
        <v>85</v>
      </c>
      <c r="B81" s="1" t="s">
        <v>13</v>
      </c>
      <c r="D81" s="1" t="s">
        <v>87</v>
      </c>
      <c r="F81" s="7">
        <v>5.8199999999999998E-8</v>
      </c>
      <c r="H81" s="1">
        <v>37</v>
      </c>
      <c r="I81" s="8" t="s">
        <v>56</v>
      </c>
      <c r="J81" s="7">
        <v>7.9999999999999996E-7</v>
      </c>
      <c r="K81" s="7">
        <v>3.8E-6</v>
      </c>
      <c r="L81" s="1">
        <f t="shared" si="11"/>
        <v>1.3447901627195862E-6</v>
      </c>
      <c r="M81" s="7">
        <v>3.0000000000000001E-6</v>
      </c>
      <c r="N81" s="1">
        <v>1</v>
      </c>
      <c r="O81" s="1" t="s">
        <v>65</v>
      </c>
      <c r="P81" s="7">
        <v>5.9999999999999995E-8</v>
      </c>
      <c r="Q81" s="7">
        <v>5.9999999999999995E-8</v>
      </c>
      <c r="R81" s="7">
        <v>2.9999999999999997E-8</v>
      </c>
      <c r="S81" s="1" t="s">
        <v>73</v>
      </c>
      <c r="T81" s="7">
        <v>1.7E-8</v>
      </c>
      <c r="U81" s="1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adsorption_data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Joiner</dc:creator>
  <cp:lastModifiedBy>Kevin Joiner</cp:lastModifiedBy>
  <dcterms:created xsi:type="dcterms:W3CDTF">2020-11-15T17:37:31Z</dcterms:created>
  <dcterms:modified xsi:type="dcterms:W3CDTF">2021-01-29T21:42:55Z</dcterms:modified>
</cp:coreProperties>
</file>