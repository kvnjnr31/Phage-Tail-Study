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joiner\Desktop\PROJECTS\Virus Project\Data\"/>
    </mc:Choice>
  </mc:AlternateContent>
  <xr:revisionPtr revIDLastSave="0" documentId="13_ncr:1_{E0320D01-E2BC-4CFF-B1BB-B18253D62F3E}" xr6:coauthVersionLast="36" xr6:coauthVersionMax="36" xr10:uidLastSave="{00000000-0000-0000-0000-000000000000}"/>
  <bookViews>
    <workbookView xWindow="0" yWindow="3192" windowWidth="17256" windowHeight="5520" xr2:uid="{00000000-000D-0000-FFFF-FFFF00000000}"/>
  </bookViews>
  <sheets>
    <sheet name="adsorption_data" sheetId="1" r:id="rId1"/>
  </sheets>
  <calcPr calcId="191029"/>
</workbook>
</file>

<file path=xl/calcChain.xml><?xml version="1.0" encoding="utf-8"?>
<calcChain xmlns="http://schemas.openxmlformats.org/spreadsheetml/2006/main">
  <c r="Q66" i="1" l="1"/>
  <c r="Q65" i="1"/>
  <c r="Q64" i="1"/>
  <c r="Q63" i="1"/>
  <c r="R66" i="1" s="1"/>
  <c r="M66" i="1"/>
  <c r="M65" i="1"/>
  <c r="M64" i="1"/>
  <c r="M63" i="1"/>
  <c r="G66" i="1"/>
  <c r="J66" i="1" s="1"/>
  <c r="G65" i="1"/>
  <c r="G64" i="1"/>
  <c r="J64" i="1" s="1"/>
  <c r="G63" i="1"/>
  <c r="N64" i="1" l="1"/>
  <c r="N66" i="1"/>
  <c r="J65" i="1"/>
  <c r="N65" i="1"/>
  <c r="J67" i="1"/>
  <c r="R64" i="1"/>
  <c r="R65" i="1"/>
  <c r="R67" i="1" s="1"/>
  <c r="N67" i="1" l="1"/>
</calcChain>
</file>

<file path=xl/sharedStrings.xml><?xml version="1.0" encoding="utf-8"?>
<sst xmlns="http://schemas.openxmlformats.org/spreadsheetml/2006/main" count="304" uniqueCount="71">
  <si>
    <t>Reference</t>
  </si>
  <si>
    <t>Host</t>
  </si>
  <si>
    <t>Phage</t>
  </si>
  <si>
    <t>E. coli</t>
  </si>
  <si>
    <t>Lambda</t>
  </si>
  <si>
    <t>Shao and Wang 2008</t>
  </si>
  <si>
    <t>Moldovan et al 2007</t>
  </si>
  <si>
    <t>T4</t>
  </si>
  <si>
    <t>Zhang et al 2016</t>
  </si>
  <si>
    <t>OWB</t>
  </si>
  <si>
    <t>Stoddard et al 2007</t>
  </si>
  <si>
    <t>Synechococcus</t>
  </si>
  <si>
    <t>Chattopadhyay et al 1987</t>
  </si>
  <si>
    <t>Levisohn 1987</t>
  </si>
  <si>
    <t>rp-1</t>
  </si>
  <si>
    <t>Mann 2003</t>
  </si>
  <si>
    <t>Suttle and Chan 1993</t>
  </si>
  <si>
    <t>Adsorption Rate d(ml/h)</t>
  </si>
  <si>
    <t>Myoviridae</t>
  </si>
  <si>
    <t>Siphoviridae</t>
  </si>
  <si>
    <t>Podoviridae</t>
  </si>
  <si>
    <t>Knezevic et al 2011</t>
  </si>
  <si>
    <t>Ps. Aeruginosa</t>
  </si>
  <si>
    <t>Vibrio cholera</t>
  </si>
  <si>
    <t>T1</t>
  </si>
  <si>
    <t>Puck 1950</t>
  </si>
  <si>
    <t>T3</t>
  </si>
  <si>
    <t>T2</t>
  </si>
  <si>
    <t>Storms etal 2010</t>
  </si>
  <si>
    <t>Barr 2015</t>
  </si>
  <si>
    <t>T7</t>
  </si>
  <si>
    <t>Bacteria dmin</t>
  </si>
  <si>
    <t>Bacteria dmax</t>
  </si>
  <si>
    <t>Tail type</t>
  </si>
  <si>
    <t>Env Isolate</t>
  </si>
  <si>
    <t>Schwartz 1976</t>
  </si>
  <si>
    <t>study</t>
  </si>
  <si>
    <t>Phage tail</t>
  </si>
  <si>
    <t>Phage head</t>
  </si>
  <si>
    <t>Vibrio parahaemolyticus</t>
  </si>
  <si>
    <t>Vibrio fischeri</t>
  </si>
  <si>
    <t>S</t>
  </si>
  <si>
    <t>P. A</t>
  </si>
  <si>
    <t>E</t>
  </si>
  <si>
    <t>V</t>
  </si>
  <si>
    <t>Podo</t>
  </si>
  <si>
    <t>Myo</t>
  </si>
  <si>
    <t>Syn</t>
  </si>
  <si>
    <t>Sipho</t>
  </si>
  <si>
    <t>P.A</t>
  </si>
  <si>
    <t>Bac type</t>
  </si>
  <si>
    <t>Temp deg C</t>
  </si>
  <si>
    <t>stf+</t>
  </si>
  <si>
    <t>stf-</t>
  </si>
  <si>
    <t>Broth</t>
  </si>
  <si>
    <t>Adsorbtion Suspension and Condition</t>
  </si>
  <si>
    <t>SM Buffer</t>
  </si>
  <si>
    <t>ESAW</t>
  </si>
  <si>
    <t>SN (seawater)</t>
  </si>
  <si>
    <t>Maltose</t>
  </si>
  <si>
    <t>Glucose</t>
  </si>
  <si>
    <t>M9 medium</t>
  </si>
  <si>
    <t>CR631pTAS1</t>
  </si>
  <si>
    <t>Storms et al 2012</t>
  </si>
  <si>
    <t>E. Coli</t>
  </si>
  <si>
    <t>T5</t>
  </si>
  <si>
    <t>MSM</t>
  </si>
  <si>
    <t>TSB</t>
  </si>
  <si>
    <t>NB</t>
  </si>
  <si>
    <t>Storms etal 2012</t>
  </si>
  <si>
    <t>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</si>
</sst>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Fill="1" applyAlignment="1">
      <alignment horizontal="center"/>
    </xf>
    <xf numFmtId="0" fontId="16" fillId="0" borderId="0" xfId="0" applyFont="1" applyFill="1"/>
    <xf numFmtId="0" fontId="16" fillId="0" borderId="0" xfId="0" applyFont="1" applyFill="1" applyAlignment="1">
      <alignment horizontal="center"/>
    </xf>
    <xf numFmtId="0" fontId="16" fillId="0" borderId="0" xfId="0" applyFont="1" applyFill="1" applyAlignment="1">
      <alignment horizontal="center" wrapText="1"/>
    </xf>
    <xf numFmtId="11" fontId="16" fillId="0" borderId="0" xfId="0" applyNumberFormat="1" applyFont="1" applyFill="1" applyAlignment="1">
      <alignment horizontal="center" wrapText="1"/>
    </xf>
    <xf numFmtId="0" fontId="0" fillId="0" borderId="0" xfId="0" applyFill="1"/>
    <xf numFmtId="11" fontId="0" fillId="0" borderId="0" xfId="0" applyNumberFormat="1" applyFill="1" applyAlignment="1">
      <alignment horizontal="center"/>
    </xf>
    <xf numFmtId="11" fontId="0" fillId="0" borderId="0" xfId="0" applyNumberFormat="1" applyFill="1"/>
    <xf numFmtId="164" fontId="0" fillId="0" borderId="0" xfId="0" applyNumberForma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7"/>
  <sheetViews>
    <sheetView tabSelected="1" zoomScale="60" zoomScaleNormal="60" workbookViewId="0">
      <selection activeCell="A12" sqref="A12:XFD12"/>
    </sheetView>
  </sheetViews>
  <sheetFormatPr defaultRowHeight="14.4" x14ac:dyDescent="0.3"/>
  <cols>
    <col min="1" max="1" width="23.77734375" style="6" customWidth="1"/>
    <col min="2" max="2" width="24.6640625" style="1" customWidth="1"/>
    <col min="3" max="3" width="20" style="6" customWidth="1"/>
    <col min="4" max="4" width="18.6640625" style="1" customWidth="1"/>
    <col min="5" max="6" width="11.77734375" style="1" customWidth="1"/>
    <col min="7" max="7" width="18.33203125" style="7" customWidth="1"/>
    <col min="8" max="8" width="14.109375" style="7" customWidth="1"/>
    <col min="9" max="9" width="17" style="7" customWidth="1"/>
    <col min="10" max="10" width="12.88671875" style="1" customWidth="1"/>
    <col min="11" max="11" width="13.6640625" style="1" customWidth="1"/>
    <col min="12" max="12" width="12.88671875" style="1" customWidth="1"/>
    <col min="13" max="13" width="12" style="1" customWidth="1"/>
    <col min="14" max="14" width="11.77734375" style="6" customWidth="1"/>
    <col min="15" max="15" width="10.33203125" style="6" customWidth="1"/>
    <col min="16" max="16" width="12.21875" style="6" customWidth="1"/>
    <col min="17" max="17" width="11.33203125" style="6" customWidth="1"/>
    <col min="18" max="18" width="10" style="6" customWidth="1"/>
    <col min="19" max="19" width="10.5546875" style="6" customWidth="1"/>
    <col min="20" max="20" width="11.33203125" style="6" customWidth="1"/>
    <col min="21" max="21" width="15.88671875" style="6" customWidth="1"/>
    <col min="22" max="22" width="11.88671875" style="6" customWidth="1"/>
    <col min="23" max="23" width="10.77734375" style="6" customWidth="1"/>
    <col min="24" max="24" width="11.6640625" style="6" customWidth="1"/>
    <col min="25" max="25" width="10" style="6" customWidth="1"/>
    <col min="26" max="26" width="10.33203125" style="6" customWidth="1"/>
    <col min="27" max="29" width="10.5546875" style="6" customWidth="1"/>
    <col min="30" max="30" width="11.33203125" style="6" customWidth="1"/>
    <col min="31" max="16384" width="8.88671875" style="6"/>
  </cols>
  <sheetData>
    <row r="1" spans="1:30" s="2" customFormat="1" ht="57.6" customHeight="1" x14ac:dyDescent="0.3">
      <c r="A1" s="2" t="s">
        <v>0</v>
      </c>
      <c r="B1" s="3" t="s">
        <v>1</v>
      </c>
      <c r="C1" s="4" t="s">
        <v>33</v>
      </c>
      <c r="D1" s="3" t="s">
        <v>2</v>
      </c>
      <c r="E1" s="3" t="s">
        <v>36</v>
      </c>
      <c r="F1" s="3" t="s">
        <v>50</v>
      </c>
      <c r="G1" s="5" t="s">
        <v>17</v>
      </c>
      <c r="H1" s="5" t="s">
        <v>51</v>
      </c>
      <c r="I1" s="5" t="s">
        <v>55</v>
      </c>
      <c r="J1" s="4" t="s">
        <v>31</v>
      </c>
      <c r="K1" s="4" t="s">
        <v>32</v>
      </c>
      <c r="L1" s="4" t="s">
        <v>37</v>
      </c>
      <c r="M1" s="4"/>
      <c r="N1" s="4"/>
      <c r="U1" s="2" t="s">
        <v>38</v>
      </c>
    </row>
    <row r="2" spans="1:30" x14ac:dyDescent="0.3">
      <c r="A2" s="6" t="s">
        <v>35</v>
      </c>
      <c r="B2" s="1" t="s">
        <v>3</v>
      </c>
      <c r="C2" s="1" t="s">
        <v>19</v>
      </c>
      <c r="D2" s="1" t="s">
        <v>4</v>
      </c>
      <c r="E2" s="1">
        <v>1</v>
      </c>
      <c r="F2" s="1">
        <v>1</v>
      </c>
      <c r="G2" s="7">
        <v>7.54E-7</v>
      </c>
      <c r="H2" s="9">
        <v>37</v>
      </c>
      <c r="J2" s="7">
        <v>9.2999999999999999E-7</v>
      </c>
      <c r="K2" s="7">
        <v>1.31E-6</v>
      </c>
      <c r="L2" s="7">
        <v>1.4999999999999999E-7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5.9999999999999995E-8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</row>
    <row r="3" spans="1:30" x14ac:dyDescent="0.3">
      <c r="A3" s="6" t="s">
        <v>6</v>
      </c>
      <c r="B3" s="1" t="s">
        <v>3</v>
      </c>
      <c r="C3" s="1" t="s">
        <v>19</v>
      </c>
      <c r="D3" s="1" t="s">
        <v>4</v>
      </c>
      <c r="E3" s="1">
        <v>1</v>
      </c>
      <c r="F3" s="1">
        <v>1</v>
      </c>
      <c r="G3" s="7">
        <v>5.2999999999999998E-8</v>
      </c>
      <c r="H3" s="9">
        <v>24</v>
      </c>
      <c r="I3" s="7" t="s">
        <v>60</v>
      </c>
      <c r="J3" s="7">
        <v>9.2999999999999999E-7</v>
      </c>
      <c r="K3" s="7">
        <v>1.31E-6</v>
      </c>
      <c r="L3" s="7">
        <v>1.4999999999999999E-7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5.9999999999999995E-8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</row>
    <row r="4" spans="1:30" x14ac:dyDescent="0.3">
      <c r="A4" s="6" t="s">
        <v>6</v>
      </c>
      <c r="B4" s="1" t="s">
        <v>3</v>
      </c>
      <c r="C4" s="1" t="s">
        <v>19</v>
      </c>
      <c r="D4" s="1" t="s">
        <v>4</v>
      </c>
      <c r="E4" s="1">
        <v>1</v>
      </c>
      <c r="F4" s="1">
        <v>1</v>
      </c>
      <c r="G4" s="7">
        <v>7.1999999999999996E-8</v>
      </c>
      <c r="H4" s="9">
        <v>24</v>
      </c>
      <c r="I4" s="7" t="s">
        <v>59</v>
      </c>
      <c r="J4" s="7">
        <v>9.2999999999999999E-7</v>
      </c>
      <c r="K4" s="7">
        <v>1.31E-6</v>
      </c>
      <c r="L4" s="7">
        <v>1.4999999999999999E-7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5.9999999999999995E-8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</row>
    <row r="5" spans="1:30" x14ac:dyDescent="0.3">
      <c r="A5" s="6" t="s">
        <v>6</v>
      </c>
      <c r="B5" s="1" t="s">
        <v>3</v>
      </c>
      <c r="C5" s="1" t="s">
        <v>19</v>
      </c>
      <c r="D5" s="1" t="s">
        <v>4</v>
      </c>
      <c r="E5" s="1">
        <v>1</v>
      </c>
      <c r="F5" s="1">
        <v>1</v>
      </c>
      <c r="G5" s="7">
        <v>7.8199999999999999E-8</v>
      </c>
      <c r="H5" s="9">
        <v>40</v>
      </c>
      <c r="I5" s="7" t="s">
        <v>61</v>
      </c>
      <c r="J5" s="7">
        <v>9.2999999999999999E-7</v>
      </c>
      <c r="K5" s="7">
        <v>1.31E-6</v>
      </c>
      <c r="L5" s="7">
        <v>1.4999999999999999E-7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5.9999999999999995E-8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</row>
    <row r="6" spans="1:30" x14ac:dyDescent="0.3">
      <c r="A6" s="6" t="s">
        <v>6</v>
      </c>
      <c r="B6" s="1" t="s">
        <v>3</v>
      </c>
      <c r="C6" s="1" t="s">
        <v>19</v>
      </c>
      <c r="D6" s="1" t="s">
        <v>4</v>
      </c>
      <c r="E6" s="1">
        <v>1</v>
      </c>
      <c r="F6" s="1">
        <v>1</v>
      </c>
      <c r="G6" s="7">
        <v>7.98E-8</v>
      </c>
      <c r="H6" s="9">
        <v>24</v>
      </c>
      <c r="I6" s="7" t="s">
        <v>62</v>
      </c>
      <c r="J6" s="7">
        <v>9.2999999999999999E-7</v>
      </c>
      <c r="K6" s="7">
        <v>1.31E-6</v>
      </c>
      <c r="L6" s="7">
        <v>1.4999999999999999E-7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5.9999999999999995E-8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</row>
    <row r="7" spans="1:30" x14ac:dyDescent="0.3">
      <c r="A7" s="6" t="s">
        <v>5</v>
      </c>
      <c r="B7" s="1" t="s">
        <v>3</v>
      </c>
      <c r="C7" s="1" t="s">
        <v>19</v>
      </c>
      <c r="D7" s="1" t="s">
        <v>4</v>
      </c>
      <c r="E7" s="1">
        <v>1</v>
      </c>
      <c r="F7" s="1">
        <v>1</v>
      </c>
      <c r="G7" s="7">
        <v>5.9400000000000005E-7</v>
      </c>
      <c r="H7" s="9">
        <v>37</v>
      </c>
      <c r="I7" s="7" t="s">
        <v>52</v>
      </c>
      <c r="J7" s="7">
        <v>9.2999999999999999E-7</v>
      </c>
      <c r="K7" s="7">
        <v>1.31E-6</v>
      </c>
      <c r="L7" s="7">
        <v>1.4999999999999999E-7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5.9999999999999995E-8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</row>
    <row r="8" spans="1:30" x14ac:dyDescent="0.3">
      <c r="A8" s="6" t="s">
        <v>5</v>
      </c>
      <c r="B8" s="1" t="s">
        <v>3</v>
      </c>
      <c r="C8" s="1" t="s">
        <v>19</v>
      </c>
      <c r="D8" s="1" t="s">
        <v>4</v>
      </c>
      <c r="E8" s="1">
        <v>1</v>
      </c>
      <c r="F8" s="1">
        <v>1</v>
      </c>
      <c r="G8" s="7">
        <v>7.98E-8</v>
      </c>
      <c r="H8" s="9">
        <v>37</v>
      </c>
      <c r="I8" s="7" t="s">
        <v>53</v>
      </c>
      <c r="J8" s="7">
        <v>9.2999999999999999E-7</v>
      </c>
      <c r="K8" s="7">
        <v>1.31E-6</v>
      </c>
      <c r="L8" s="7">
        <v>1.4999999999999999E-7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5.9999999999999995E-8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</row>
    <row r="9" spans="1:30" x14ac:dyDescent="0.3">
      <c r="A9" s="6" t="s">
        <v>25</v>
      </c>
      <c r="B9" s="1" t="s">
        <v>3</v>
      </c>
      <c r="C9" s="1" t="s">
        <v>19</v>
      </c>
      <c r="D9" s="1" t="s">
        <v>24</v>
      </c>
      <c r="E9" s="1">
        <v>1</v>
      </c>
      <c r="F9" s="1">
        <v>1</v>
      </c>
      <c r="G9" s="7">
        <v>1.86E-7</v>
      </c>
      <c r="H9" s="9">
        <v>37</v>
      </c>
      <c r="I9" s="7" t="s">
        <v>54</v>
      </c>
      <c r="J9" s="7">
        <v>9.2999999999999999E-7</v>
      </c>
      <c r="K9" s="7">
        <v>1.31E-6</v>
      </c>
      <c r="L9" s="7">
        <v>1.5099999999999999E-7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5.9999999999999995E-8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</row>
    <row r="10" spans="1:30" x14ac:dyDescent="0.3">
      <c r="A10" s="6" t="s">
        <v>63</v>
      </c>
      <c r="B10" s="1" t="s">
        <v>64</v>
      </c>
      <c r="C10" s="1" t="s">
        <v>19</v>
      </c>
      <c r="D10" s="1" t="s">
        <v>65</v>
      </c>
      <c r="E10" s="1">
        <v>1</v>
      </c>
      <c r="F10" s="1">
        <v>1</v>
      </c>
      <c r="G10" s="7">
        <v>1.5E-6</v>
      </c>
      <c r="H10" s="9">
        <v>37</v>
      </c>
      <c r="I10" s="7" t="s">
        <v>66</v>
      </c>
      <c r="J10" s="7">
        <v>3.9999999999999998E-7</v>
      </c>
      <c r="K10" s="7">
        <v>1.9800000000000001E-6</v>
      </c>
      <c r="L10" s="7">
        <v>1.4999999999999999E-7</v>
      </c>
      <c r="M10" s="7">
        <v>1.5099999999999999E-7</v>
      </c>
      <c r="N10" s="7">
        <v>1.8E-7</v>
      </c>
      <c r="O10" s="7">
        <v>1.35E-7</v>
      </c>
      <c r="P10" s="7">
        <v>9.8000000000000004E-8</v>
      </c>
      <c r="Q10" s="7">
        <v>2.1E-7</v>
      </c>
      <c r="R10" s="7">
        <v>9.9999999999999995E-8</v>
      </c>
      <c r="S10" s="7">
        <v>1.4000000000000001E-7</v>
      </c>
      <c r="T10" s="7">
        <v>3.5499999999999999E-7</v>
      </c>
      <c r="U10" s="7">
        <v>5.9999999999999995E-8</v>
      </c>
      <c r="V10" s="7">
        <v>5.9999999999999995E-8</v>
      </c>
      <c r="W10" s="7">
        <v>8.0000000000000002E-8</v>
      </c>
      <c r="X10" s="7">
        <v>5.9999999999999995E-8</v>
      </c>
      <c r="Y10" s="7">
        <v>5.5999999999999999E-8</v>
      </c>
      <c r="Z10" s="7">
        <v>5.5000000000000003E-8</v>
      </c>
      <c r="AA10" s="7">
        <v>5.2999999999999998E-8</v>
      </c>
      <c r="AB10" s="7">
        <v>5.9999999999999995E-8</v>
      </c>
      <c r="AC10" s="7">
        <v>8.0999999999999997E-8</v>
      </c>
      <c r="AD10" s="7">
        <v>0</v>
      </c>
    </row>
    <row r="11" spans="1:30" x14ac:dyDescent="0.3">
      <c r="A11" s="6" t="s">
        <v>63</v>
      </c>
      <c r="B11" s="1" t="s">
        <v>64</v>
      </c>
      <c r="C11" s="1" t="s">
        <v>19</v>
      </c>
      <c r="D11" s="1" t="s">
        <v>65</v>
      </c>
      <c r="E11" s="1">
        <v>1</v>
      </c>
      <c r="F11" s="1">
        <v>1</v>
      </c>
      <c r="G11" s="7">
        <v>3.1800000000000002E-7</v>
      </c>
      <c r="H11" s="9">
        <v>37</v>
      </c>
      <c r="I11" s="7" t="s">
        <v>67</v>
      </c>
      <c r="J11" s="7">
        <v>3.9999999999999998E-7</v>
      </c>
      <c r="K11" s="7">
        <v>1.9800000000000001E-6</v>
      </c>
      <c r="L11" s="7">
        <v>1.4999999999999999E-7</v>
      </c>
      <c r="M11" s="7">
        <v>1.5099999999999999E-7</v>
      </c>
      <c r="N11" s="7">
        <v>1.8E-7</v>
      </c>
      <c r="O11" s="7">
        <v>1.35E-7</v>
      </c>
      <c r="P11" s="7">
        <v>9.8000000000000004E-8</v>
      </c>
      <c r="Q11" s="7">
        <v>2.1E-7</v>
      </c>
      <c r="R11" s="7">
        <v>9.9999999999999995E-8</v>
      </c>
      <c r="S11" s="7">
        <v>1.4000000000000001E-7</v>
      </c>
      <c r="T11" s="7">
        <v>3.5499999999999999E-7</v>
      </c>
      <c r="U11" s="7">
        <v>5.9999999999999995E-8</v>
      </c>
      <c r="V11" s="7">
        <v>5.9999999999999995E-8</v>
      </c>
      <c r="W11" s="7">
        <v>8.0000000000000002E-8</v>
      </c>
      <c r="X11" s="7">
        <v>5.9999999999999995E-8</v>
      </c>
      <c r="Y11" s="7">
        <v>5.5999999999999999E-8</v>
      </c>
      <c r="Z11" s="7">
        <v>5.5000000000000003E-8</v>
      </c>
      <c r="AA11" s="7">
        <v>5.2999999999999998E-8</v>
      </c>
      <c r="AB11" s="7">
        <v>5.9999999999999995E-8</v>
      </c>
      <c r="AC11" s="7">
        <v>8.0999999999999997E-8</v>
      </c>
      <c r="AD11" s="7">
        <v>0</v>
      </c>
    </row>
    <row r="12" spans="1:30" x14ac:dyDescent="0.3">
      <c r="A12" s="6" t="s">
        <v>63</v>
      </c>
      <c r="B12" s="1" t="s">
        <v>64</v>
      </c>
      <c r="C12" s="1" t="s">
        <v>19</v>
      </c>
      <c r="D12" s="1" t="s">
        <v>65</v>
      </c>
      <c r="E12" s="1">
        <v>1</v>
      </c>
      <c r="F12" s="1">
        <v>1</v>
      </c>
      <c r="G12" s="7">
        <v>4.14E-8</v>
      </c>
      <c r="H12" s="9">
        <v>37</v>
      </c>
      <c r="I12" s="7" t="s">
        <v>68</v>
      </c>
      <c r="J12" s="7">
        <v>3.9999999999999998E-7</v>
      </c>
      <c r="K12" s="7">
        <v>1.9800000000000001E-6</v>
      </c>
      <c r="L12" s="7">
        <v>1.4999999999999999E-7</v>
      </c>
      <c r="M12" s="7">
        <v>1.5099999999999999E-7</v>
      </c>
      <c r="N12" s="7">
        <v>1.8E-7</v>
      </c>
      <c r="O12" s="7">
        <v>1.35E-7</v>
      </c>
      <c r="P12" s="7">
        <v>9.8000000000000004E-8</v>
      </c>
      <c r="Q12" s="7">
        <v>2.1E-7</v>
      </c>
      <c r="R12" s="7">
        <v>9.9999999999999995E-8</v>
      </c>
      <c r="S12" s="7">
        <v>1.4000000000000001E-7</v>
      </c>
      <c r="T12" s="7">
        <v>3.5499999999999999E-7</v>
      </c>
      <c r="U12" s="7">
        <v>5.9999999999999995E-8</v>
      </c>
      <c r="V12" s="7">
        <v>5.9999999999999995E-8</v>
      </c>
      <c r="W12" s="7">
        <v>8.0000000000000002E-8</v>
      </c>
      <c r="X12" s="7">
        <v>5.9999999999999995E-8</v>
      </c>
      <c r="Y12" s="7">
        <v>5.5999999999999999E-8</v>
      </c>
      <c r="Z12" s="7">
        <v>5.5000000000000003E-8</v>
      </c>
      <c r="AA12" s="7">
        <v>5.2999999999999998E-8</v>
      </c>
      <c r="AB12" s="7">
        <v>5.9999999999999995E-8</v>
      </c>
      <c r="AC12" s="7">
        <v>8.0999999999999997E-8</v>
      </c>
      <c r="AD12" s="7">
        <v>0</v>
      </c>
    </row>
    <row r="13" spans="1:30" x14ac:dyDescent="0.3">
      <c r="A13" s="6" t="s">
        <v>15</v>
      </c>
      <c r="B13" s="1" t="s">
        <v>11</v>
      </c>
      <c r="C13" s="1" t="s">
        <v>19</v>
      </c>
      <c r="D13" s="1" t="s">
        <v>34</v>
      </c>
      <c r="E13" s="1">
        <v>2</v>
      </c>
      <c r="F13" s="1">
        <v>2</v>
      </c>
      <c r="G13" s="7">
        <v>2.34E-7</v>
      </c>
      <c r="H13" s="9"/>
      <c r="J13" s="7">
        <v>5.9999999999999997E-7</v>
      </c>
      <c r="K13" s="7">
        <v>2.0999999999999998E-6</v>
      </c>
      <c r="L13" s="7">
        <v>1.4999999999999999E-7</v>
      </c>
      <c r="M13" s="7">
        <v>1.5099999999999999E-7</v>
      </c>
      <c r="N13" s="7">
        <v>1.8E-7</v>
      </c>
      <c r="O13" s="7">
        <v>1.35E-7</v>
      </c>
      <c r="P13" s="7">
        <v>9.8000000000000004E-8</v>
      </c>
      <c r="Q13" s="7">
        <v>2.1E-7</v>
      </c>
      <c r="R13" s="7">
        <v>9.9999999999999995E-8</v>
      </c>
      <c r="S13" s="7">
        <v>1.4000000000000001E-7</v>
      </c>
      <c r="T13" s="7">
        <v>3.5499999999999999E-7</v>
      </c>
      <c r="U13" s="7">
        <v>5.9999999999999995E-8</v>
      </c>
      <c r="V13" s="7">
        <v>5.9999999999999995E-8</v>
      </c>
      <c r="W13" s="7">
        <v>8.0000000000000002E-8</v>
      </c>
      <c r="X13" s="7">
        <v>5.9999999999999995E-8</v>
      </c>
      <c r="Y13" s="7">
        <v>5.5999999999999999E-8</v>
      </c>
      <c r="Z13" s="7">
        <v>5.5000000000000003E-8</v>
      </c>
      <c r="AA13" s="7">
        <v>5.2999999999999998E-8</v>
      </c>
      <c r="AB13" s="7">
        <v>5.9999999999999995E-8</v>
      </c>
      <c r="AC13" s="7">
        <v>8.0999999999999997E-8</v>
      </c>
      <c r="AD13" s="7">
        <v>0</v>
      </c>
    </row>
    <row r="14" spans="1:30" x14ac:dyDescent="0.3">
      <c r="A14" s="6" t="s">
        <v>16</v>
      </c>
      <c r="B14" s="1" t="s">
        <v>11</v>
      </c>
      <c r="C14" s="1" t="s">
        <v>19</v>
      </c>
      <c r="D14" s="1" t="s">
        <v>34</v>
      </c>
      <c r="E14" s="1">
        <v>2</v>
      </c>
      <c r="F14" s="1">
        <v>2</v>
      </c>
      <c r="G14" s="7">
        <v>2.36E-7</v>
      </c>
      <c r="H14" s="9">
        <v>25</v>
      </c>
      <c r="I14" s="7" t="s">
        <v>57</v>
      </c>
      <c r="J14" s="7">
        <v>5.9999999999999997E-7</v>
      </c>
      <c r="K14" s="7">
        <v>2.0999999999999998E-6</v>
      </c>
      <c r="L14" s="7">
        <v>1.4999999999999999E-7</v>
      </c>
      <c r="M14" s="7">
        <v>1.5099999999999999E-7</v>
      </c>
      <c r="N14" s="7">
        <v>1.8E-7</v>
      </c>
      <c r="O14" s="7">
        <v>1.35E-7</v>
      </c>
      <c r="P14" s="7">
        <v>9.8000000000000004E-8</v>
      </c>
      <c r="Q14" s="7">
        <v>2.1E-7</v>
      </c>
      <c r="R14" s="7">
        <v>9.9999999999999995E-8</v>
      </c>
      <c r="S14" s="7">
        <v>1.4000000000000001E-7</v>
      </c>
      <c r="T14" s="7">
        <v>3.5499999999999999E-7</v>
      </c>
      <c r="U14" s="7">
        <v>5.9999999999999995E-8</v>
      </c>
      <c r="V14" s="7">
        <v>5.9999999999999995E-8</v>
      </c>
      <c r="W14" s="7">
        <v>8.0000000000000002E-8</v>
      </c>
      <c r="X14" s="7">
        <v>5.9999999999999995E-8</v>
      </c>
      <c r="Y14" s="7">
        <v>5.5999999999999999E-8</v>
      </c>
      <c r="Z14" s="7">
        <v>5.5000000000000003E-8</v>
      </c>
      <c r="AA14" s="7">
        <v>5.2999999999999998E-8</v>
      </c>
      <c r="AB14" s="7">
        <v>5.9999999999999995E-8</v>
      </c>
      <c r="AC14" s="7">
        <v>8.0999999999999997E-8</v>
      </c>
      <c r="AD14" s="7">
        <v>0</v>
      </c>
    </row>
    <row r="15" spans="1:30" x14ac:dyDescent="0.3">
      <c r="A15" s="6" t="s">
        <v>21</v>
      </c>
      <c r="B15" s="1" t="s">
        <v>22</v>
      </c>
      <c r="C15" s="1" t="s">
        <v>19</v>
      </c>
      <c r="D15" s="1" t="s">
        <v>34</v>
      </c>
      <c r="E15" s="1">
        <v>3</v>
      </c>
      <c r="F15" s="1">
        <v>3</v>
      </c>
      <c r="G15" s="7">
        <v>4.6999999999999997E-8</v>
      </c>
      <c r="H15" s="9">
        <v>37</v>
      </c>
      <c r="I15" s="7" t="s">
        <v>56</v>
      </c>
      <c r="J15" s="7">
        <v>3.9999999999999998E-7</v>
      </c>
      <c r="K15" s="7">
        <v>1.9800000000000001E-6</v>
      </c>
      <c r="L15" s="7">
        <v>1.4999999999999999E-7</v>
      </c>
      <c r="M15" s="7">
        <v>1.5099999999999999E-7</v>
      </c>
      <c r="N15" s="7">
        <v>1.8E-7</v>
      </c>
      <c r="O15" s="7">
        <v>1.35E-7</v>
      </c>
      <c r="P15" s="7">
        <v>9.8000000000000004E-8</v>
      </c>
      <c r="Q15" s="7">
        <v>2.1E-7</v>
      </c>
      <c r="R15" s="7">
        <v>9.9999999999999995E-8</v>
      </c>
      <c r="S15" s="7">
        <v>1.4000000000000001E-7</v>
      </c>
      <c r="T15" s="7">
        <v>3.5499999999999999E-7</v>
      </c>
      <c r="U15" s="7">
        <v>5.9999999999999995E-8</v>
      </c>
      <c r="V15" s="7">
        <v>5.9999999999999995E-8</v>
      </c>
      <c r="W15" s="7">
        <v>8.0000000000000002E-8</v>
      </c>
      <c r="X15" s="7">
        <v>5.9999999999999995E-8</v>
      </c>
      <c r="Y15" s="7">
        <v>5.5999999999999999E-8</v>
      </c>
      <c r="Z15" s="7">
        <v>5.5000000000000003E-8</v>
      </c>
      <c r="AA15" s="7">
        <v>5.2999999999999998E-8</v>
      </c>
      <c r="AB15" s="7">
        <v>5.9999999999999995E-8</v>
      </c>
      <c r="AC15" s="7">
        <v>8.0999999999999997E-8</v>
      </c>
      <c r="AD15" s="7">
        <v>0</v>
      </c>
    </row>
    <row r="16" spans="1:30" x14ac:dyDescent="0.3">
      <c r="A16" s="6" t="s">
        <v>21</v>
      </c>
      <c r="B16" s="1" t="s">
        <v>22</v>
      </c>
      <c r="C16" s="1" t="s">
        <v>19</v>
      </c>
      <c r="D16" s="1" t="s">
        <v>34</v>
      </c>
      <c r="E16" s="1">
        <v>3</v>
      </c>
      <c r="F16" s="1">
        <v>3</v>
      </c>
      <c r="G16" s="7">
        <v>4.9999999999999998E-8</v>
      </c>
      <c r="H16" s="9">
        <v>37</v>
      </c>
      <c r="I16" s="7" t="s">
        <v>56</v>
      </c>
      <c r="J16" s="7">
        <v>3.9999999999999998E-7</v>
      </c>
      <c r="K16" s="7">
        <v>1.9800000000000001E-6</v>
      </c>
      <c r="L16" s="7">
        <v>1.4999999999999999E-7</v>
      </c>
      <c r="M16" s="7">
        <v>1.5099999999999999E-7</v>
      </c>
      <c r="N16" s="7">
        <v>1.8E-7</v>
      </c>
      <c r="O16" s="7">
        <v>1.35E-7</v>
      </c>
      <c r="P16" s="7">
        <v>9.8000000000000004E-8</v>
      </c>
      <c r="Q16" s="7">
        <v>2.1E-7</v>
      </c>
      <c r="R16" s="7">
        <v>9.9999999999999995E-8</v>
      </c>
      <c r="S16" s="7">
        <v>1.4000000000000001E-7</v>
      </c>
      <c r="T16" s="7">
        <v>3.5499999999999999E-7</v>
      </c>
      <c r="U16" s="7">
        <v>5.9999999999999995E-8</v>
      </c>
      <c r="V16" s="7">
        <v>5.9999999999999995E-8</v>
      </c>
      <c r="W16" s="7">
        <v>8.0000000000000002E-8</v>
      </c>
      <c r="X16" s="7">
        <v>5.9999999999999995E-8</v>
      </c>
      <c r="Y16" s="7">
        <v>5.5999999999999999E-8</v>
      </c>
      <c r="Z16" s="7">
        <v>5.5000000000000003E-8</v>
      </c>
      <c r="AA16" s="7">
        <v>5.2999999999999998E-8</v>
      </c>
      <c r="AB16" s="7">
        <v>5.9999999999999995E-8</v>
      </c>
      <c r="AC16" s="7">
        <v>8.0999999999999997E-8</v>
      </c>
      <c r="AD16" s="7">
        <v>0</v>
      </c>
    </row>
    <row r="17" spans="1:30" x14ac:dyDescent="0.3">
      <c r="A17" s="6" t="s">
        <v>21</v>
      </c>
      <c r="B17" s="1" t="s">
        <v>22</v>
      </c>
      <c r="C17" s="1" t="s">
        <v>19</v>
      </c>
      <c r="D17" s="1" t="s">
        <v>34</v>
      </c>
      <c r="E17" s="1">
        <v>3</v>
      </c>
      <c r="F17" s="1">
        <v>3</v>
      </c>
      <c r="G17" s="7">
        <v>5.4E-8</v>
      </c>
      <c r="H17" s="9">
        <v>37</v>
      </c>
      <c r="I17" s="7" t="s">
        <v>56</v>
      </c>
      <c r="J17" s="7">
        <v>3.9999999999999998E-7</v>
      </c>
      <c r="K17" s="7">
        <v>1.9800000000000001E-6</v>
      </c>
      <c r="L17" s="7">
        <v>1.4999999999999999E-7</v>
      </c>
      <c r="M17" s="7">
        <v>1.5099999999999999E-7</v>
      </c>
      <c r="N17" s="7">
        <v>1.8E-7</v>
      </c>
      <c r="O17" s="7">
        <v>1.35E-7</v>
      </c>
      <c r="P17" s="7">
        <v>9.8000000000000004E-8</v>
      </c>
      <c r="Q17" s="7">
        <v>2.1E-7</v>
      </c>
      <c r="R17" s="7">
        <v>9.9999999999999995E-8</v>
      </c>
      <c r="S17" s="7">
        <v>1.4000000000000001E-7</v>
      </c>
      <c r="T17" s="7">
        <v>3.5499999999999999E-7</v>
      </c>
      <c r="U17" s="7">
        <v>5.9999999999999995E-8</v>
      </c>
      <c r="V17" s="7">
        <v>5.9999999999999995E-8</v>
      </c>
      <c r="W17" s="7">
        <v>8.0000000000000002E-8</v>
      </c>
      <c r="X17" s="7">
        <v>5.9999999999999995E-8</v>
      </c>
      <c r="Y17" s="7">
        <v>5.5999999999999999E-8</v>
      </c>
      <c r="Z17" s="7">
        <v>5.5000000000000003E-8</v>
      </c>
      <c r="AA17" s="7">
        <v>5.2999999999999998E-8</v>
      </c>
      <c r="AB17" s="7">
        <v>5.9999999999999995E-8</v>
      </c>
      <c r="AC17" s="7">
        <v>8.0999999999999997E-8</v>
      </c>
      <c r="AD17" s="7">
        <v>0</v>
      </c>
    </row>
    <row r="18" spans="1:30" x14ac:dyDescent="0.3">
      <c r="A18" s="6" t="s">
        <v>10</v>
      </c>
      <c r="B18" s="1" t="s">
        <v>11</v>
      </c>
      <c r="C18" s="1" t="s">
        <v>18</v>
      </c>
      <c r="D18" s="1" t="s">
        <v>34</v>
      </c>
      <c r="E18" s="1">
        <v>4</v>
      </c>
      <c r="F18" s="1">
        <v>2</v>
      </c>
      <c r="G18" s="7">
        <v>1.3799999999999999E-8</v>
      </c>
      <c r="H18" s="9">
        <v>23</v>
      </c>
      <c r="I18" s="7" t="s">
        <v>58</v>
      </c>
      <c r="J18" s="7">
        <v>5.9999999999999997E-7</v>
      </c>
      <c r="K18" s="7">
        <v>2.0999999999999998E-6</v>
      </c>
      <c r="L18" s="7">
        <v>1.1300000000000001E-7</v>
      </c>
      <c r="M18" s="7">
        <v>1.6999999999999999E-7</v>
      </c>
      <c r="N18" s="8">
        <v>1.35E-7</v>
      </c>
      <c r="O18" s="8">
        <v>1.1999999999999999E-7</v>
      </c>
      <c r="P18" s="8">
        <v>1.4999999999999999E-7</v>
      </c>
      <c r="Q18" s="8">
        <v>1.6999999999999999E-7</v>
      </c>
      <c r="R18" s="8">
        <v>1.6E-7</v>
      </c>
      <c r="S18" s="8">
        <v>5.2999999999999998E-8</v>
      </c>
      <c r="T18" s="7">
        <v>0</v>
      </c>
      <c r="U18" s="7">
        <v>7.7999999999999997E-8</v>
      </c>
      <c r="V18" s="7">
        <v>8.4999999999999994E-8</v>
      </c>
      <c r="W18" s="7">
        <v>5.9999999999999995E-8</v>
      </c>
      <c r="X18" s="7">
        <v>5.9999999999999995E-8</v>
      </c>
      <c r="Y18" s="7">
        <v>9.3999999999999995E-8</v>
      </c>
      <c r="Z18" s="7">
        <v>6.4000000000000004E-8</v>
      </c>
      <c r="AA18" s="7">
        <v>1.445E-7</v>
      </c>
      <c r="AB18" s="7">
        <v>8.4999999999999994E-8</v>
      </c>
      <c r="AC18" s="7">
        <v>0</v>
      </c>
      <c r="AD18" s="7">
        <v>0</v>
      </c>
    </row>
    <row r="19" spans="1:30" x14ac:dyDescent="0.3">
      <c r="A19" s="6" t="s">
        <v>10</v>
      </c>
      <c r="B19" s="1" t="s">
        <v>11</v>
      </c>
      <c r="C19" s="1" t="s">
        <v>18</v>
      </c>
      <c r="D19" s="1" t="s">
        <v>34</v>
      </c>
      <c r="E19" s="1">
        <v>4</v>
      </c>
      <c r="F19" s="1">
        <v>2</v>
      </c>
      <c r="G19" s="7">
        <v>1.7999999999999999E-8</v>
      </c>
      <c r="H19" s="9">
        <v>23</v>
      </c>
      <c r="I19" s="7" t="s">
        <v>58</v>
      </c>
      <c r="J19" s="7">
        <v>5.9999999999999997E-7</v>
      </c>
      <c r="K19" s="7">
        <v>2.0999999999999998E-6</v>
      </c>
      <c r="L19" s="7">
        <v>1.1300000000000001E-7</v>
      </c>
      <c r="M19" s="7">
        <v>1.6999999999999999E-7</v>
      </c>
      <c r="N19" s="8">
        <v>1.35E-7</v>
      </c>
      <c r="O19" s="8">
        <v>1.1999999999999999E-7</v>
      </c>
      <c r="P19" s="8">
        <v>1.4999999999999999E-7</v>
      </c>
      <c r="Q19" s="8">
        <v>1.6999999999999999E-7</v>
      </c>
      <c r="R19" s="8">
        <v>1.6E-7</v>
      </c>
      <c r="S19" s="8">
        <v>5.2999999999999998E-8</v>
      </c>
      <c r="T19" s="7">
        <v>0</v>
      </c>
      <c r="U19" s="7">
        <v>7.7999999999999997E-8</v>
      </c>
      <c r="V19" s="7">
        <v>8.4999999999999994E-8</v>
      </c>
      <c r="W19" s="7">
        <v>5.9999999999999995E-8</v>
      </c>
      <c r="X19" s="7">
        <v>5.9999999999999995E-8</v>
      </c>
      <c r="Y19" s="7">
        <v>9.3999999999999995E-8</v>
      </c>
      <c r="Z19" s="7">
        <v>6.4000000000000004E-8</v>
      </c>
      <c r="AA19" s="7">
        <v>1.445E-7</v>
      </c>
      <c r="AB19" s="7">
        <v>8.4999999999999994E-8</v>
      </c>
      <c r="AC19" s="7">
        <v>0</v>
      </c>
      <c r="AD19" s="7">
        <v>0</v>
      </c>
    </row>
    <row r="20" spans="1:30" x14ac:dyDescent="0.3">
      <c r="A20" s="6" t="s">
        <v>10</v>
      </c>
      <c r="B20" s="1" t="s">
        <v>11</v>
      </c>
      <c r="C20" s="1" t="s">
        <v>18</v>
      </c>
      <c r="D20" s="1" t="s">
        <v>34</v>
      </c>
      <c r="E20" s="1">
        <v>4</v>
      </c>
      <c r="F20" s="1">
        <v>2</v>
      </c>
      <c r="G20" s="7">
        <v>2.5200000000000001E-8</v>
      </c>
      <c r="H20" s="9">
        <v>23</v>
      </c>
      <c r="I20" s="7" t="s">
        <v>58</v>
      </c>
      <c r="J20" s="7">
        <v>5.9999999999999997E-7</v>
      </c>
      <c r="K20" s="7">
        <v>2.0999999999999998E-6</v>
      </c>
      <c r="L20" s="7">
        <v>1.1300000000000001E-7</v>
      </c>
      <c r="M20" s="7">
        <v>1.6999999999999999E-7</v>
      </c>
      <c r="N20" s="8">
        <v>1.35E-7</v>
      </c>
      <c r="O20" s="8">
        <v>1.1999999999999999E-7</v>
      </c>
      <c r="P20" s="8">
        <v>1.4999999999999999E-7</v>
      </c>
      <c r="Q20" s="8">
        <v>1.6999999999999999E-7</v>
      </c>
      <c r="R20" s="8">
        <v>1.6E-7</v>
      </c>
      <c r="S20" s="8">
        <v>5.2999999999999998E-8</v>
      </c>
      <c r="T20" s="7">
        <v>0</v>
      </c>
      <c r="U20" s="7">
        <v>7.7999999999999997E-8</v>
      </c>
      <c r="V20" s="7">
        <v>8.4999999999999994E-8</v>
      </c>
      <c r="W20" s="7">
        <v>5.9999999999999995E-8</v>
      </c>
      <c r="X20" s="7">
        <v>5.9999999999999995E-8</v>
      </c>
      <c r="Y20" s="7">
        <v>9.3999999999999995E-8</v>
      </c>
      <c r="Z20" s="7">
        <v>6.4000000000000004E-8</v>
      </c>
      <c r="AA20" s="7">
        <v>1.445E-7</v>
      </c>
      <c r="AB20" s="7">
        <v>8.4999999999999994E-8</v>
      </c>
      <c r="AC20" s="7">
        <v>0</v>
      </c>
      <c r="AD20" s="7">
        <v>0</v>
      </c>
    </row>
    <row r="21" spans="1:30" x14ac:dyDescent="0.3">
      <c r="A21" s="6" t="s">
        <v>10</v>
      </c>
      <c r="B21" s="1" t="s">
        <v>11</v>
      </c>
      <c r="C21" s="1" t="s">
        <v>18</v>
      </c>
      <c r="D21" s="1" t="s">
        <v>34</v>
      </c>
      <c r="E21" s="1">
        <v>4</v>
      </c>
      <c r="F21" s="1">
        <v>2</v>
      </c>
      <c r="G21" s="7">
        <v>2.5200000000000001E-8</v>
      </c>
      <c r="H21" s="9">
        <v>23</v>
      </c>
      <c r="I21" s="7" t="s">
        <v>58</v>
      </c>
      <c r="J21" s="7">
        <v>5.9999999999999997E-7</v>
      </c>
      <c r="K21" s="7">
        <v>2.0999999999999998E-6</v>
      </c>
      <c r="L21" s="7">
        <v>1.1300000000000001E-7</v>
      </c>
      <c r="M21" s="7">
        <v>1.6999999999999999E-7</v>
      </c>
      <c r="N21" s="8">
        <v>1.35E-7</v>
      </c>
      <c r="O21" s="8">
        <v>1.1999999999999999E-7</v>
      </c>
      <c r="P21" s="8">
        <v>1.4999999999999999E-7</v>
      </c>
      <c r="Q21" s="8">
        <v>1.6999999999999999E-7</v>
      </c>
      <c r="R21" s="8">
        <v>1.6E-7</v>
      </c>
      <c r="S21" s="8">
        <v>5.2999999999999998E-8</v>
      </c>
      <c r="T21" s="7">
        <v>0</v>
      </c>
      <c r="U21" s="7">
        <v>7.7999999999999997E-8</v>
      </c>
      <c r="V21" s="7">
        <v>8.4999999999999994E-8</v>
      </c>
      <c r="W21" s="7">
        <v>5.9999999999999995E-8</v>
      </c>
      <c r="X21" s="7">
        <v>5.9999999999999995E-8</v>
      </c>
      <c r="Y21" s="7">
        <v>9.3999999999999995E-8</v>
      </c>
      <c r="Z21" s="7">
        <v>6.4000000000000004E-8</v>
      </c>
      <c r="AA21" s="7">
        <v>1.445E-7</v>
      </c>
      <c r="AB21" s="7">
        <v>8.4999999999999994E-8</v>
      </c>
      <c r="AC21" s="7">
        <v>0</v>
      </c>
      <c r="AD21" s="7">
        <v>0</v>
      </c>
    </row>
    <row r="22" spans="1:30" x14ac:dyDescent="0.3">
      <c r="A22" s="6" t="s">
        <v>10</v>
      </c>
      <c r="B22" s="1" t="s">
        <v>11</v>
      </c>
      <c r="C22" s="1" t="s">
        <v>18</v>
      </c>
      <c r="D22" s="1" t="s">
        <v>34</v>
      </c>
      <c r="E22" s="1">
        <v>4</v>
      </c>
      <c r="F22" s="1">
        <v>2</v>
      </c>
      <c r="G22" s="7">
        <v>2.5799999999999999E-8</v>
      </c>
      <c r="H22" s="9">
        <v>23</v>
      </c>
      <c r="I22" s="7" t="s">
        <v>58</v>
      </c>
      <c r="J22" s="7">
        <v>5.9999999999999997E-7</v>
      </c>
      <c r="K22" s="7">
        <v>2.0999999999999998E-6</v>
      </c>
      <c r="L22" s="7">
        <v>1.1300000000000001E-7</v>
      </c>
      <c r="M22" s="7">
        <v>1.6999999999999999E-7</v>
      </c>
      <c r="N22" s="8">
        <v>1.35E-7</v>
      </c>
      <c r="O22" s="8">
        <v>1.1999999999999999E-7</v>
      </c>
      <c r="P22" s="8">
        <v>1.4999999999999999E-7</v>
      </c>
      <c r="Q22" s="8">
        <v>1.6999999999999999E-7</v>
      </c>
      <c r="R22" s="8">
        <v>1.6E-7</v>
      </c>
      <c r="S22" s="8">
        <v>5.2999999999999998E-8</v>
      </c>
      <c r="T22" s="7">
        <v>0</v>
      </c>
      <c r="U22" s="7">
        <v>7.7999999999999997E-8</v>
      </c>
      <c r="V22" s="7">
        <v>8.4999999999999994E-8</v>
      </c>
      <c r="W22" s="7">
        <v>5.9999999999999995E-8</v>
      </c>
      <c r="X22" s="7">
        <v>5.9999999999999995E-8</v>
      </c>
      <c r="Y22" s="7">
        <v>9.3999999999999995E-8</v>
      </c>
      <c r="Z22" s="7">
        <v>6.4000000000000004E-8</v>
      </c>
      <c r="AA22" s="7">
        <v>1.445E-7</v>
      </c>
      <c r="AB22" s="7">
        <v>8.4999999999999994E-8</v>
      </c>
      <c r="AC22" s="7">
        <v>0</v>
      </c>
      <c r="AD22" s="7">
        <v>0</v>
      </c>
    </row>
    <row r="23" spans="1:30" x14ac:dyDescent="0.3">
      <c r="A23" s="6" t="s">
        <v>10</v>
      </c>
      <c r="B23" s="1" t="s">
        <v>11</v>
      </c>
      <c r="C23" s="1" t="s">
        <v>18</v>
      </c>
      <c r="D23" s="1" t="s">
        <v>34</v>
      </c>
      <c r="E23" s="1">
        <v>4</v>
      </c>
      <c r="F23" s="1">
        <v>2</v>
      </c>
      <c r="G23" s="7">
        <v>2.9999999999999997E-8</v>
      </c>
      <c r="H23" s="9">
        <v>23</v>
      </c>
      <c r="I23" s="7" t="s">
        <v>58</v>
      </c>
      <c r="J23" s="7">
        <v>5.9999999999999997E-7</v>
      </c>
      <c r="K23" s="7">
        <v>2.0999999999999998E-6</v>
      </c>
      <c r="L23" s="7">
        <v>1.1300000000000001E-7</v>
      </c>
      <c r="M23" s="7">
        <v>1.6999999999999999E-7</v>
      </c>
      <c r="N23" s="8">
        <v>1.35E-7</v>
      </c>
      <c r="O23" s="8">
        <v>1.1999999999999999E-7</v>
      </c>
      <c r="P23" s="8">
        <v>1.4999999999999999E-7</v>
      </c>
      <c r="Q23" s="8">
        <v>1.6999999999999999E-7</v>
      </c>
      <c r="R23" s="8">
        <v>1.6E-7</v>
      </c>
      <c r="S23" s="8">
        <v>5.2999999999999998E-8</v>
      </c>
      <c r="T23" s="7">
        <v>0</v>
      </c>
      <c r="U23" s="7">
        <v>7.7999999999999997E-8</v>
      </c>
      <c r="V23" s="7">
        <v>8.4999999999999994E-8</v>
      </c>
      <c r="W23" s="7">
        <v>5.9999999999999995E-8</v>
      </c>
      <c r="X23" s="7">
        <v>5.9999999999999995E-8</v>
      </c>
      <c r="Y23" s="7">
        <v>9.3999999999999995E-8</v>
      </c>
      <c r="Z23" s="7">
        <v>6.4000000000000004E-8</v>
      </c>
      <c r="AA23" s="7">
        <v>1.445E-7</v>
      </c>
      <c r="AB23" s="7">
        <v>8.4999999999999994E-8</v>
      </c>
      <c r="AC23" s="7">
        <v>0</v>
      </c>
      <c r="AD23" s="7">
        <v>0</v>
      </c>
    </row>
    <row r="24" spans="1:30" x14ac:dyDescent="0.3">
      <c r="A24" s="6" t="s">
        <v>10</v>
      </c>
      <c r="B24" s="1" t="s">
        <v>11</v>
      </c>
      <c r="C24" s="1" t="s">
        <v>18</v>
      </c>
      <c r="D24" s="1" t="s">
        <v>34</v>
      </c>
      <c r="E24" s="1">
        <v>4</v>
      </c>
      <c r="F24" s="1">
        <v>2</v>
      </c>
      <c r="G24" s="7">
        <v>3.18E-8</v>
      </c>
      <c r="H24" s="9">
        <v>23</v>
      </c>
      <c r="I24" s="7" t="s">
        <v>58</v>
      </c>
      <c r="J24" s="7">
        <v>5.9999999999999997E-7</v>
      </c>
      <c r="K24" s="7">
        <v>2.0999999999999998E-6</v>
      </c>
      <c r="L24" s="7">
        <v>1.1300000000000001E-7</v>
      </c>
      <c r="M24" s="7">
        <v>1.6999999999999999E-7</v>
      </c>
      <c r="N24" s="8">
        <v>1.35E-7</v>
      </c>
      <c r="O24" s="8">
        <v>1.1999999999999999E-7</v>
      </c>
      <c r="P24" s="8">
        <v>1.4999999999999999E-7</v>
      </c>
      <c r="Q24" s="8">
        <v>1.6999999999999999E-7</v>
      </c>
      <c r="R24" s="8">
        <v>1.6E-7</v>
      </c>
      <c r="S24" s="8">
        <v>5.2999999999999998E-8</v>
      </c>
      <c r="T24" s="7">
        <v>0</v>
      </c>
      <c r="U24" s="7">
        <v>7.7999999999999997E-8</v>
      </c>
      <c r="V24" s="7">
        <v>8.4999999999999994E-8</v>
      </c>
      <c r="W24" s="7">
        <v>5.9999999999999995E-8</v>
      </c>
      <c r="X24" s="7">
        <v>5.9999999999999995E-8</v>
      </c>
      <c r="Y24" s="7">
        <v>9.3999999999999995E-8</v>
      </c>
      <c r="Z24" s="7">
        <v>6.4000000000000004E-8</v>
      </c>
      <c r="AA24" s="7">
        <v>1.445E-7</v>
      </c>
      <c r="AB24" s="7">
        <v>8.4999999999999994E-8</v>
      </c>
      <c r="AC24" s="7">
        <v>0</v>
      </c>
      <c r="AD24" s="7">
        <v>0</v>
      </c>
    </row>
    <row r="25" spans="1:30" x14ac:dyDescent="0.3">
      <c r="A25" s="6" t="s">
        <v>10</v>
      </c>
      <c r="B25" s="1" t="s">
        <v>11</v>
      </c>
      <c r="C25" s="1" t="s">
        <v>18</v>
      </c>
      <c r="D25" s="1" t="s">
        <v>34</v>
      </c>
      <c r="E25" s="1">
        <v>4</v>
      </c>
      <c r="F25" s="1">
        <v>2</v>
      </c>
      <c r="G25" s="7">
        <v>3.2999999999999998E-8</v>
      </c>
      <c r="H25" s="9">
        <v>23</v>
      </c>
      <c r="I25" s="7" t="s">
        <v>58</v>
      </c>
      <c r="J25" s="7">
        <v>5.9999999999999997E-7</v>
      </c>
      <c r="K25" s="7">
        <v>2.0999999999999998E-6</v>
      </c>
      <c r="L25" s="7">
        <v>1.1300000000000001E-7</v>
      </c>
      <c r="M25" s="7">
        <v>1.6999999999999999E-7</v>
      </c>
      <c r="N25" s="8">
        <v>1.35E-7</v>
      </c>
      <c r="O25" s="8">
        <v>1.1999999999999999E-7</v>
      </c>
      <c r="P25" s="8">
        <v>1.4999999999999999E-7</v>
      </c>
      <c r="Q25" s="8">
        <v>1.6999999999999999E-7</v>
      </c>
      <c r="R25" s="8">
        <v>1.6E-7</v>
      </c>
      <c r="S25" s="8">
        <v>5.2999999999999998E-8</v>
      </c>
      <c r="T25" s="7">
        <v>0</v>
      </c>
      <c r="U25" s="7">
        <v>7.7999999999999997E-8</v>
      </c>
      <c r="V25" s="7">
        <v>8.4999999999999994E-8</v>
      </c>
      <c r="W25" s="7">
        <v>5.9999999999999995E-8</v>
      </c>
      <c r="X25" s="7">
        <v>5.9999999999999995E-8</v>
      </c>
      <c r="Y25" s="7">
        <v>9.3999999999999995E-8</v>
      </c>
      <c r="Z25" s="7">
        <v>6.4000000000000004E-8</v>
      </c>
      <c r="AA25" s="7">
        <v>1.445E-7</v>
      </c>
      <c r="AB25" s="7">
        <v>8.4999999999999994E-8</v>
      </c>
      <c r="AC25" s="7">
        <v>0</v>
      </c>
      <c r="AD25" s="7">
        <v>0</v>
      </c>
    </row>
    <row r="26" spans="1:30" x14ac:dyDescent="0.3">
      <c r="A26" s="6" t="s">
        <v>10</v>
      </c>
      <c r="B26" s="1" t="s">
        <v>11</v>
      </c>
      <c r="C26" s="1" t="s">
        <v>18</v>
      </c>
      <c r="D26" s="1" t="s">
        <v>34</v>
      </c>
      <c r="E26" s="1">
        <v>4</v>
      </c>
      <c r="F26" s="1">
        <v>2</v>
      </c>
      <c r="G26" s="7">
        <v>3.6599999999999997E-8</v>
      </c>
      <c r="H26" s="9">
        <v>23</v>
      </c>
      <c r="I26" s="7" t="s">
        <v>58</v>
      </c>
      <c r="J26" s="7">
        <v>5.9999999999999997E-7</v>
      </c>
      <c r="K26" s="7">
        <v>2.0999999999999998E-6</v>
      </c>
      <c r="L26" s="7">
        <v>1.1300000000000001E-7</v>
      </c>
      <c r="M26" s="7">
        <v>1.6999999999999999E-7</v>
      </c>
      <c r="N26" s="8">
        <v>1.35E-7</v>
      </c>
      <c r="O26" s="8">
        <v>1.1999999999999999E-7</v>
      </c>
      <c r="P26" s="8">
        <v>1.4999999999999999E-7</v>
      </c>
      <c r="Q26" s="8">
        <v>1.6999999999999999E-7</v>
      </c>
      <c r="R26" s="8">
        <v>1.6E-7</v>
      </c>
      <c r="S26" s="8">
        <v>5.2999999999999998E-8</v>
      </c>
      <c r="T26" s="7">
        <v>0</v>
      </c>
      <c r="U26" s="7">
        <v>7.7999999999999997E-8</v>
      </c>
      <c r="V26" s="7">
        <v>8.4999999999999994E-8</v>
      </c>
      <c r="W26" s="7">
        <v>5.9999999999999995E-8</v>
      </c>
      <c r="X26" s="7">
        <v>5.9999999999999995E-8</v>
      </c>
      <c r="Y26" s="7">
        <v>9.3999999999999995E-8</v>
      </c>
      <c r="Z26" s="7">
        <v>6.4000000000000004E-8</v>
      </c>
      <c r="AA26" s="7">
        <v>1.445E-7</v>
      </c>
      <c r="AB26" s="7">
        <v>8.4999999999999994E-8</v>
      </c>
      <c r="AC26" s="7">
        <v>0</v>
      </c>
      <c r="AD26" s="7">
        <v>0</v>
      </c>
    </row>
    <row r="27" spans="1:30" x14ac:dyDescent="0.3">
      <c r="A27" s="6" t="s">
        <v>10</v>
      </c>
      <c r="B27" s="1" t="s">
        <v>11</v>
      </c>
      <c r="C27" s="1" t="s">
        <v>18</v>
      </c>
      <c r="D27" s="1" t="s">
        <v>34</v>
      </c>
      <c r="E27" s="1">
        <v>4</v>
      </c>
      <c r="F27" s="1">
        <v>2</v>
      </c>
      <c r="G27" s="7">
        <v>4.1999999999999999E-8</v>
      </c>
      <c r="H27" s="9">
        <v>23</v>
      </c>
      <c r="I27" s="7" t="s">
        <v>58</v>
      </c>
      <c r="J27" s="7">
        <v>5.9999999999999997E-7</v>
      </c>
      <c r="K27" s="7">
        <v>2.0999999999999998E-6</v>
      </c>
      <c r="L27" s="7">
        <v>1.1300000000000001E-7</v>
      </c>
      <c r="M27" s="7">
        <v>1.6999999999999999E-7</v>
      </c>
      <c r="N27" s="8">
        <v>1.35E-7</v>
      </c>
      <c r="O27" s="8">
        <v>1.1999999999999999E-7</v>
      </c>
      <c r="P27" s="8">
        <v>1.4999999999999999E-7</v>
      </c>
      <c r="Q27" s="8">
        <v>1.6999999999999999E-7</v>
      </c>
      <c r="R27" s="8">
        <v>1.6E-7</v>
      </c>
      <c r="S27" s="8">
        <v>5.2999999999999998E-8</v>
      </c>
      <c r="T27" s="7">
        <v>0</v>
      </c>
      <c r="U27" s="7">
        <v>7.7999999999999997E-8</v>
      </c>
      <c r="V27" s="7">
        <v>8.4999999999999994E-8</v>
      </c>
      <c r="W27" s="7">
        <v>5.9999999999999995E-8</v>
      </c>
      <c r="X27" s="7">
        <v>5.9999999999999995E-8</v>
      </c>
      <c r="Y27" s="7">
        <v>9.3999999999999995E-8</v>
      </c>
      <c r="Z27" s="7">
        <v>6.4000000000000004E-8</v>
      </c>
      <c r="AA27" s="7">
        <v>1.445E-7</v>
      </c>
      <c r="AB27" s="7">
        <v>8.4999999999999994E-8</v>
      </c>
      <c r="AC27" s="7">
        <v>0</v>
      </c>
      <c r="AD27" s="7">
        <v>0</v>
      </c>
    </row>
    <row r="28" spans="1:30" x14ac:dyDescent="0.3">
      <c r="A28" s="6" t="s">
        <v>10</v>
      </c>
      <c r="B28" s="1" t="s">
        <v>11</v>
      </c>
      <c r="C28" s="1" t="s">
        <v>18</v>
      </c>
      <c r="D28" s="1" t="s">
        <v>34</v>
      </c>
      <c r="E28" s="1">
        <v>4</v>
      </c>
      <c r="F28" s="1">
        <v>2</v>
      </c>
      <c r="G28" s="7">
        <v>4.1999999999999999E-8</v>
      </c>
      <c r="H28" s="9">
        <v>23</v>
      </c>
      <c r="I28" s="7" t="s">
        <v>58</v>
      </c>
      <c r="J28" s="7">
        <v>5.9999999999999997E-7</v>
      </c>
      <c r="K28" s="7">
        <v>2.0999999999999998E-6</v>
      </c>
      <c r="L28" s="7">
        <v>1.1300000000000001E-7</v>
      </c>
      <c r="M28" s="7">
        <v>1.6999999999999999E-7</v>
      </c>
      <c r="N28" s="8">
        <v>1.35E-7</v>
      </c>
      <c r="O28" s="8">
        <v>1.1999999999999999E-7</v>
      </c>
      <c r="P28" s="8">
        <v>1.4999999999999999E-7</v>
      </c>
      <c r="Q28" s="8">
        <v>1.6999999999999999E-7</v>
      </c>
      <c r="R28" s="8">
        <v>1.6E-7</v>
      </c>
      <c r="S28" s="8">
        <v>5.2999999999999998E-8</v>
      </c>
      <c r="T28" s="7">
        <v>0</v>
      </c>
      <c r="U28" s="7">
        <v>7.7999999999999997E-8</v>
      </c>
      <c r="V28" s="7">
        <v>8.4999999999999994E-8</v>
      </c>
      <c r="W28" s="7">
        <v>5.9999999999999995E-8</v>
      </c>
      <c r="X28" s="7">
        <v>5.9999999999999995E-8</v>
      </c>
      <c r="Y28" s="7">
        <v>9.3999999999999995E-8</v>
      </c>
      <c r="Z28" s="7">
        <v>6.4000000000000004E-8</v>
      </c>
      <c r="AA28" s="7">
        <v>1.445E-7</v>
      </c>
      <c r="AB28" s="7">
        <v>8.4999999999999994E-8</v>
      </c>
      <c r="AC28" s="7">
        <v>0</v>
      </c>
      <c r="AD28" s="7">
        <v>0</v>
      </c>
    </row>
    <row r="29" spans="1:30" x14ac:dyDescent="0.3">
      <c r="A29" s="6" t="s">
        <v>10</v>
      </c>
      <c r="B29" s="1" t="s">
        <v>11</v>
      </c>
      <c r="C29" s="1" t="s">
        <v>18</v>
      </c>
      <c r="D29" s="1" t="s">
        <v>34</v>
      </c>
      <c r="E29" s="1">
        <v>4</v>
      </c>
      <c r="F29" s="1">
        <v>2</v>
      </c>
      <c r="G29" s="7">
        <v>4.9199999999999997E-8</v>
      </c>
      <c r="H29" s="9">
        <v>23</v>
      </c>
      <c r="I29" s="7" t="s">
        <v>58</v>
      </c>
      <c r="J29" s="7">
        <v>5.9999999999999997E-7</v>
      </c>
      <c r="K29" s="7">
        <v>2.0999999999999998E-6</v>
      </c>
      <c r="L29" s="7">
        <v>1.1300000000000001E-7</v>
      </c>
      <c r="M29" s="7">
        <v>1.6999999999999999E-7</v>
      </c>
      <c r="N29" s="8">
        <v>1.35E-7</v>
      </c>
      <c r="O29" s="8">
        <v>1.1999999999999999E-7</v>
      </c>
      <c r="P29" s="8">
        <v>1.4999999999999999E-7</v>
      </c>
      <c r="Q29" s="8">
        <v>1.6999999999999999E-7</v>
      </c>
      <c r="R29" s="8">
        <v>1.6E-7</v>
      </c>
      <c r="S29" s="8">
        <v>5.2999999999999998E-8</v>
      </c>
      <c r="T29" s="7">
        <v>0</v>
      </c>
      <c r="U29" s="7">
        <v>7.7999999999999997E-8</v>
      </c>
      <c r="V29" s="7">
        <v>8.4999999999999994E-8</v>
      </c>
      <c r="W29" s="7">
        <v>5.9999999999999995E-8</v>
      </c>
      <c r="X29" s="7">
        <v>5.9999999999999995E-8</v>
      </c>
      <c r="Y29" s="7">
        <v>9.3999999999999995E-8</v>
      </c>
      <c r="Z29" s="7">
        <v>6.4000000000000004E-8</v>
      </c>
      <c r="AA29" s="7">
        <v>1.445E-7</v>
      </c>
      <c r="AB29" s="7">
        <v>8.4999999999999994E-8</v>
      </c>
      <c r="AC29" s="7">
        <v>0</v>
      </c>
      <c r="AD29" s="7">
        <v>0</v>
      </c>
    </row>
    <row r="30" spans="1:30" x14ac:dyDescent="0.3">
      <c r="A30" s="6" t="s">
        <v>10</v>
      </c>
      <c r="B30" s="1" t="s">
        <v>11</v>
      </c>
      <c r="C30" s="1" t="s">
        <v>18</v>
      </c>
      <c r="D30" s="1" t="s">
        <v>34</v>
      </c>
      <c r="E30" s="1">
        <v>4</v>
      </c>
      <c r="F30" s="1">
        <v>2</v>
      </c>
      <c r="G30" s="7">
        <v>9.5999999999999999E-8</v>
      </c>
      <c r="H30" s="9">
        <v>23</v>
      </c>
      <c r="I30" s="7" t="s">
        <v>58</v>
      </c>
      <c r="J30" s="7">
        <v>5.9999999999999997E-7</v>
      </c>
      <c r="K30" s="7">
        <v>2.0999999999999998E-6</v>
      </c>
      <c r="L30" s="7">
        <v>1.1300000000000001E-7</v>
      </c>
      <c r="M30" s="7">
        <v>1.6999999999999999E-7</v>
      </c>
      <c r="N30" s="8">
        <v>1.35E-7</v>
      </c>
      <c r="O30" s="8">
        <v>1.1999999999999999E-7</v>
      </c>
      <c r="P30" s="8">
        <v>1.4999999999999999E-7</v>
      </c>
      <c r="Q30" s="8">
        <v>1.6999999999999999E-7</v>
      </c>
      <c r="R30" s="8">
        <v>1.6E-7</v>
      </c>
      <c r="S30" s="8">
        <v>5.2999999999999998E-8</v>
      </c>
      <c r="T30" s="7">
        <v>0</v>
      </c>
      <c r="U30" s="7">
        <v>7.7999999999999997E-8</v>
      </c>
      <c r="V30" s="7">
        <v>8.4999999999999994E-8</v>
      </c>
      <c r="W30" s="7">
        <v>5.9999999999999995E-8</v>
      </c>
      <c r="X30" s="7">
        <v>5.9999999999999995E-8</v>
      </c>
      <c r="Y30" s="7">
        <v>9.3999999999999995E-8</v>
      </c>
      <c r="Z30" s="7">
        <v>6.4000000000000004E-8</v>
      </c>
      <c r="AA30" s="7">
        <v>1.445E-7</v>
      </c>
      <c r="AB30" s="7">
        <v>8.4999999999999994E-8</v>
      </c>
      <c r="AC30" s="7">
        <v>0</v>
      </c>
      <c r="AD30" s="7">
        <v>0</v>
      </c>
    </row>
    <row r="31" spans="1:30" x14ac:dyDescent="0.3">
      <c r="A31" s="6" t="s">
        <v>10</v>
      </c>
      <c r="B31" s="1" t="s">
        <v>11</v>
      </c>
      <c r="C31" s="1" t="s">
        <v>18</v>
      </c>
      <c r="D31" s="1" t="s">
        <v>34</v>
      </c>
      <c r="E31" s="1">
        <v>4</v>
      </c>
      <c r="F31" s="1">
        <v>2</v>
      </c>
      <c r="G31" s="7">
        <v>5.7000000000000001E-8</v>
      </c>
      <c r="H31" s="9">
        <v>23</v>
      </c>
      <c r="I31" s="7" t="s">
        <v>58</v>
      </c>
      <c r="J31" s="7">
        <v>5.9999999999999997E-7</v>
      </c>
      <c r="K31" s="7">
        <v>2.0999999999999998E-6</v>
      </c>
      <c r="L31" s="7">
        <v>1.1300000000000001E-7</v>
      </c>
      <c r="M31" s="7">
        <v>1.6999999999999999E-7</v>
      </c>
      <c r="N31" s="8">
        <v>1.35E-7</v>
      </c>
      <c r="O31" s="8">
        <v>1.1999999999999999E-7</v>
      </c>
      <c r="P31" s="8">
        <v>1.4999999999999999E-7</v>
      </c>
      <c r="Q31" s="8">
        <v>1.6999999999999999E-7</v>
      </c>
      <c r="R31" s="8">
        <v>1.6E-7</v>
      </c>
      <c r="S31" s="8">
        <v>5.2999999999999998E-8</v>
      </c>
      <c r="T31" s="7">
        <v>0</v>
      </c>
      <c r="U31" s="7">
        <v>7.7999999999999997E-8</v>
      </c>
      <c r="V31" s="7">
        <v>8.4999999999999994E-8</v>
      </c>
      <c r="W31" s="7">
        <v>5.9999999999999995E-8</v>
      </c>
      <c r="X31" s="7">
        <v>5.9999999999999995E-8</v>
      </c>
      <c r="Y31" s="7">
        <v>9.3999999999999995E-8</v>
      </c>
      <c r="Z31" s="7">
        <v>6.4000000000000004E-8</v>
      </c>
      <c r="AA31" s="7">
        <v>1.445E-7</v>
      </c>
      <c r="AB31" s="7">
        <v>8.4999999999999994E-8</v>
      </c>
      <c r="AC31" s="7">
        <v>0</v>
      </c>
      <c r="AD31" s="7">
        <v>0</v>
      </c>
    </row>
    <row r="32" spans="1:30" x14ac:dyDescent="0.3">
      <c r="A32" s="6" t="s">
        <v>10</v>
      </c>
      <c r="B32" s="1" t="s">
        <v>11</v>
      </c>
      <c r="C32" s="1" t="s">
        <v>18</v>
      </c>
      <c r="D32" s="1" t="s">
        <v>34</v>
      </c>
      <c r="E32" s="1">
        <v>4</v>
      </c>
      <c r="F32" s="1">
        <v>2</v>
      </c>
      <c r="G32" s="7">
        <v>7.1999999999999996E-8</v>
      </c>
      <c r="H32" s="9">
        <v>23</v>
      </c>
      <c r="I32" s="7" t="s">
        <v>58</v>
      </c>
      <c r="J32" s="7">
        <v>5.9999999999999997E-7</v>
      </c>
      <c r="K32" s="7">
        <v>2.0999999999999998E-6</v>
      </c>
      <c r="L32" s="7">
        <v>1.1300000000000001E-7</v>
      </c>
      <c r="M32" s="7">
        <v>1.6999999999999999E-7</v>
      </c>
      <c r="N32" s="8">
        <v>1.35E-7</v>
      </c>
      <c r="O32" s="8">
        <v>1.1999999999999999E-7</v>
      </c>
      <c r="P32" s="8">
        <v>1.4999999999999999E-7</v>
      </c>
      <c r="Q32" s="8">
        <v>1.6999999999999999E-7</v>
      </c>
      <c r="R32" s="8">
        <v>1.6E-7</v>
      </c>
      <c r="S32" s="8">
        <v>5.2999999999999998E-8</v>
      </c>
      <c r="T32" s="7">
        <v>0</v>
      </c>
      <c r="U32" s="7">
        <v>7.7999999999999997E-8</v>
      </c>
      <c r="V32" s="7">
        <v>8.4999999999999994E-8</v>
      </c>
      <c r="W32" s="7">
        <v>5.9999999999999995E-8</v>
      </c>
      <c r="X32" s="7">
        <v>5.9999999999999995E-8</v>
      </c>
      <c r="Y32" s="7">
        <v>9.3999999999999995E-8</v>
      </c>
      <c r="Z32" s="7">
        <v>6.4000000000000004E-8</v>
      </c>
      <c r="AA32" s="7">
        <v>1.445E-7</v>
      </c>
      <c r="AB32" s="7">
        <v>8.4999999999999994E-8</v>
      </c>
      <c r="AC32" s="7">
        <v>0</v>
      </c>
      <c r="AD32" s="7">
        <v>0</v>
      </c>
    </row>
    <row r="33" spans="1:30" x14ac:dyDescent="0.3">
      <c r="A33" s="6" t="s">
        <v>15</v>
      </c>
      <c r="B33" s="1" t="s">
        <v>11</v>
      </c>
      <c r="C33" s="1" t="s">
        <v>18</v>
      </c>
      <c r="D33" s="1" t="s">
        <v>34</v>
      </c>
      <c r="E33" s="1">
        <v>4</v>
      </c>
      <c r="F33" s="1">
        <v>2</v>
      </c>
      <c r="G33" s="7">
        <v>3.6600000000000002E-7</v>
      </c>
      <c r="H33" s="9"/>
      <c r="J33" s="7">
        <v>5.9999999999999997E-7</v>
      </c>
      <c r="K33" s="7">
        <v>2.0999999999999998E-6</v>
      </c>
      <c r="L33" s="7">
        <v>1.1300000000000001E-7</v>
      </c>
      <c r="M33" s="7">
        <v>1.6999999999999999E-7</v>
      </c>
      <c r="N33" s="8">
        <v>1.35E-7</v>
      </c>
      <c r="O33" s="8">
        <v>1.1999999999999999E-7</v>
      </c>
      <c r="P33" s="8">
        <v>1.4999999999999999E-7</v>
      </c>
      <c r="Q33" s="8">
        <v>1.6999999999999999E-7</v>
      </c>
      <c r="R33" s="8">
        <v>1.6E-7</v>
      </c>
      <c r="S33" s="8">
        <v>5.2999999999999998E-8</v>
      </c>
      <c r="T33" s="7">
        <v>0</v>
      </c>
      <c r="U33" s="7">
        <v>7.7999999999999997E-8</v>
      </c>
      <c r="V33" s="7">
        <v>8.4999999999999994E-8</v>
      </c>
      <c r="W33" s="7">
        <v>5.9999999999999995E-8</v>
      </c>
      <c r="X33" s="7">
        <v>5.9999999999999995E-8</v>
      </c>
      <c r="Y33" s="7">
        <v>9.3999999999999995E-8</v>
      </c>
      <c r="Z33" s="7">
        <v>6.4000000000000004E-8</v>
      </c>
      <c r="AA33" s="7">
        <v>1.445E-7</v>
      </c>
      <c r="AB33" s="7">
        <v>8.4999999999999994E-8</v>
      </c>
      <c r="AC33" s="7">
        <v>0</v>
      </c>
      <c r="AD33" s="7">
        <v>0</v>
      </c>
    </row>
    <row r="34" spans="1:30" x14ac:dyDescent="0.3">
      <c r="A34" s="6" t="s">
        <v>25</v>
      </c>
      <c r="B34" s="1" t="s">
        <v>3</v>
      </c>
      <c r="C34" s="1" t="s">
        <v>18</v>
      </c>
      <c r="D34" s="1" t="s">
        <v>27</v>
      </c>
      <c r="E34" s="1">
        <v>5</v>
      </c>
      <c r="F34" s="1">
        <v>1</v>
      </c>
      <c r="G34" s="7">
        <v>1.2599999999999999E-7</v>
      </c>
      <c r="H34" s="9">
        <v>37</v>
      </c>
      <c r="I34" s="7" t="s">
        <v>54</v>
      </c>
      <c r="J34" s="7">
        <v>9.2999999999999999E-7</v>
      </c>
      <c r="K34" s="7">
        <v>1.31E-6</v>
      </c>
      <c r="L34" s="7">
        <v>1.1300000000000001E-7</v>
      </c>
      <c r="M34" s="7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7">
        <v>0</v>
      </c>
      <c r="U34" s="7">
        <v>7.7999999999999997E-8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</row>
    <row r="35" spans="1:30" x14ac:dyDescent="0.3">
      <c r="A35" s="6" t="s">
        <v>28</v>
      </c>
      <c r="B35" s="1" t="s">
        <v>3</v>
      </c>
      <c r="C35" s="1" t="s">
        <v>18</v>
      </c>
      <c r="D35" s="1" t="s">
        <v>7</v>
      </c>
      <c r="E35" s="1">
        <v>5</v>
      </c>
      <c r="F35" s="1">
        <v>1</v>
      </c>
      <c r="G35" s="7">
        <v>5.4000000000000002E-7</v>
      </c>
      <c r="H35" s="9"/>
      <c r="J35" s="7">
        <v>9.2999999999999999E-7</v>
      </c>
      <c r="K35" s="7">
        <v>1.31E-6</v>
      </c>
      <c r="L35" s="7">
        <v>1.1300000000000001E-7</v>
      </c>
      <c r="M35" s="7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7">
        <v>0</v>
      </c>
      <c r="U35" s="7">
        <v>7.7999999999999997E-8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</row>
    <row r="36" spans="1:30" x14ac:dyDescent="0.3">
      <c r="A36" s="6" t="s">
        <v>69</v>
      </c>
      <c r="B36" s="1" t="s">
        <v>3</v>
      </c>
      <c r="C36" s="1" t="s">
        <v>18</v>
      </c>
      <c r="D36" s="1" t="s">
        <v>7</v>
      </c>
      <c r="E36" s="1">
        <v>5</v>
      </c>
      <c r="F36" s="1">
        <v>1</v>
      </c>
      <c r="G36" s="7">
        <v>1.3200000000000001E-6</v>
      </c>
      <c r="H36" s="9">
        <v>37</v>
      </c>
      <c r="I36" s="7" t="s">
        <v>66</v>
      </c>
      <c r="J36" s="7">
        <v>9.2999999999999999E-7</v>
      </c>
      <c r="K36" s="7">
        <v>1.31E-6</v>
      </c>
      <c r="L36" s="7">
        <v>1.1300000000000001E-7</v>
      </c>
      <c r="M36" s="7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7">
        <v>0</v>
      </c>
      <c r="U36" s="7">
        <v>7.7999999999999997E-8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</row>
    <row r="37" spans="1:30" x14ac:dyDescent="0.3">
      <c r="A37" s="6" t="s">
        <v>69</v>
      </c>
      <c r="B37" s="1" t="s">
        <v>3</v>
      </c>
      <c r="C37" s="1" t="s">
        <v>18</v>
      </c>
      <c r="D37" s="1" t="s">
        <v>7</v>
      </c>
      <c r="E37" s="1">
        <v>5</v>
      </c>
      <c r="F37" s="1">
        <v>1</v>
      </c>
      <c r="G37" s="7">
        <v>2.6399999999999998E-7</v>
      </c>
      <c r="H37" s="9">
        <v>37</v>
      </c>
      <c r="I37" s="7" t="s">
        <v>67</v>
      </c>
      <c r="J37" s="7">
        <v>9.2999999999999999E-7</v>
      </c>
      <c r="K37" s="7">
        <v>1.31E-6</v>
      </c>
      <c r="L37" s="7">
        <v>1.1300000000000001E-7</v>
      </c>
      <c r="M37" s="7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7">
        <v>0</v>
      </c>
      <c r="U37" s="7">
        <v>7.7999999999999997E-8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</row>
    <row r="38" spans="1:30" x14ac:dyDescent="0.3">
      <c r="A38" s="6" t="s">
        <v>69</v>
      </c>
      <c r="B38" s="1" t="s">
        <v>3</v>
      </c>
      <c r="C38" s="1" t="s">
        <v>18</v>
      </c>
      <c r="D38" s="1" t="s">
        <v>7</v>
      </c>
      <c r="E38" s="1">
        <v>5</v>
      </c>
      <c r="F38" s="1">
        <v>1</v>
      </c>
      <c r="G38" s="7">
        <v>1.1999999999999999E-7</v>
      </c>
      <c r="H38" s="9">
        <v>37</v>
      </c>
      <c r="I38" s="7" t="s">
        <v>68</v>
      </c>
      <c r="J38" s="7">
        <v>9.2999999999999999E-7</v>
      </c>
      <c r="K38" s="7">
        <v>1.31E-6</v>
      </c>
      <c r="L38" s="7">
        <v>1.1300000000000001E-7</v>
      </c>
      <c r="M38" s="7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7">
        <v>0</v>
      </c>
      <c r="U38" s="7">
        <v>7.7999999999999997E-8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</row>
    <row r="39" spans="1:30" x14ac:dyDescent="0.3">
      <c r="A39" s="6" t="s">
        <v>69</v>
      </c>
      <c r="B39" s="1" t="s">
        <v>3</v>
      </c>
      <c r="C39" s="1" t="s">
        <v>18</v>
      </c>
      <c r="D39" s="1" t="s">
        <v>27</v>
      </c>
      <c r="E39" s="1">
        <v>5</v>
      </c>
      <c r="F39" s="1">
        <v>1</v>
      </c>
      <c r="G39" s="7">
        <v>5.8800000000000002E-7</v>
      </c>
      <c r="H39" s="9">
        <v>37</v>
      </c>
      <c r="I39" s="7" t="s">
        <v>66</v>
      </c>
      <c r="J39" s="7">
        <v>9.2999999999999999E-7</v>
      </c>
      <c r="K39" s="7">
        <v>1.31E-6</v>
      </c>
      <c r="L39" s="7">
        <v>1.1300000000000001E-7</v>
      </c>
      <c r="M39" s="7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7">
        <v>0</v>
      </c>
      <c r="U39" s="7">
        <v>7.7999999999999997E-8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</row>
    <row r="40" spans="1:30" x14ac:dyDescent="0.3">
      <c r="A40" s="6" t="s">
        <v>69</v>
      </c>
      <c r="B40" s="1" t="s">
        <v>3</v>
      </c>
      <c r="C40" s="1" t="s">
        <v>18</v>
      </c>
      <c r="D40" s="1" t="s">
        <v>27</v>
      </c>
      <c r="E40" s="1">
        <v>5</v>
      </c>
      <c r="F40" s="1">
        <v>1</v>
      </c>
      <c r="G40" s="7">
        <v>3.1199999999999999E-7</v>
      </c>
      <c r="H40" s="9">
        <v>37</v>
      </c>
      <c r="I40" s="7" t="s">
        <v>67</v>
      </c>
      <c r="J40" s="7">
        <v>9.2999999999999999E-7</v>
      </c>
      <c r="K40" s="7">
        <v>1.31E-6</v>
      </c>
      <c r="L40" s="7">
        <v>1.1300000000000001E-7</v>
      </c>
      <c r="M40" s="7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7">
        <v>0</v>
      </c>
      <c r="U40" s="7">
        <v>7.7999999999999997E-8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</row>
    <row r="41" spans="1:30" x14ac:dyDescent="0.3">
      <c r="A41" s="6" t="s">
        <v>69</v>
      </c>
      <c r="B41" s="1" t="s">
        <v>3</v>
      </c>
      <c r="C41" s="1" t="s">
        <v>18</v>
      </c>
      <c r="D41" s="1" t="s">
        <v>27</v>
      </c>
      <c r="E41" s="1">
        <v>5</v>
      </c>
      <c r="F41" s="1">
        <v>1</v>
      </c>
      <c r="G41" s="7">
        <v>5.5799999999999997E-8</v>
      </c>
      <c r="H41" s="9">
        <v>37</v>
      </c>
      <c r="I41" s="7" t="s">
        <v>68</v>
      </c>
      <c r="J41" s="7">
        <v>9.2999999999999999E-7</v>
      </c>
      <c r="K41" s="7">
        <v>1.31E-6</v>
      </c>
      <c r="L41" s="7">
        <v>1.1300000000000001E-7</v>
      </c>
      <c r="M41" s="7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7">
        <v>0</v>
      </c>
      <c r="U41" s="7">
        <v>7.7999999999999997E-8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</row>
    <row r="42" spans="1:30" x14ac:dyDescent="0.3">
      <c r="A42" s="6" t="s">
        <v>69</v>
      </c>
      <c r="B42" s="1" t="s">
        <v>3</v>
      </c>
      <c r="C42" s="1" t="s">
        <v>18</v>
      </c>
      <c r="D42" s="1" t="s">
        <v>70</v>
      </c>
      <c r="E42" s="1">
        <v>5</v>
      </c>
      <c r="F42" s="1">
        <v>1</v>
      </c>
      <c r="G42" s="7">
        <v>2.04E-7</v>
      </c>
      <c r="H42" s="9">
        <v>37</v>
      </c>
      <c r="I42" s="7" t="s">
        <v>66</v>
      </c>
      <c r="J42" s="7">
        <v>9.2999999999999999E-7</v>
      </c>
      <c r="K42" s="7">
        <v>1.31E-6</v>
      </c>
      <c r="L42" s="7">
        <v>1.1300000000000001E-7</v>
      </c>
      <c r="M42" s="7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7">
        <v>0</v>
      </c>
      <c r="U42" s="7">
        <v>7.7999999999999997E-8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</row>
    <row r="43" spans="1:30" x14ac:dyDescent="0.3">
      <c r="A43" s="6" t="s">
        <v>69</v>
      </c>
      <c r="B43" s="1" t="s">
        <v>3</v>
      </c>
      <c r="C43" s="1" t="s">
        <v>18</v>
      </c>
      <c r="D43" s="1" t="s">
        <v>70</v>
      </c>
      <c r="E43" s="1">
        <v>5</v>
      </c>
      <c r="F43" s="1">
        <v>1</v>
      </c>
      <c r="G43" s="7">
        <v>5.8199999999999998E-8</v>
      </c>
      <c r="H43" s="9">
        <v>37</v>
      </c>
      <c r="I43" s="7" t="s">
        <v>67</v>
      </c>
      <c r="J43" s="7">
        <v>9.2999999999999999E-7</v>
      </c>
      <c r="K43" s="7">
        <v>1.31E-6</v>
      </c>
      <c r="L43" s="7">
        <v>1.1300000000000001E-7</v>
      </c>
      <c r="M43" s="7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7">
        <v>0</v>
      </c>
      <c r="U43" s="7">
        <v>7.7999999999999997E-8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</row>
    <row r="44" spans="1:30" x14ac:dyDescent="0.3">
      <c r="A44" s="6" t="s">
        <v>69</v>
      </c>
      <c r="B44" s="1" t="s">
        <v>3</v>
      </c>
      <c r="C44" s="1" t="s">
        <v>18</v>
      </c>
      <c r="D44" s="1" t="s">
        <v>70</v>
      </c>
      <c r="E44" s="1">
        <v>5</v>
      </c>
      <c r="F44" s="1">
        <v>1</v>
      </c>
      <c r="G44" s="7">
        <v>5.5799999999999997E-8</v>
      </c>
      <c r="H44" s="9">
        <v>37</v>
      </c>
      <c r="I44" s="7" t="s">
        <v>68</v>
      </c>
      <c r="J44" s="7">
        <v>9.2999999999999999E-7</v>
      </c>
      <c r="K44" s="7">
        <v>1.31E-6</v>
      </c>
      <c r="L44" s="7">
        <v>1.1300000000000001E-7</v>
      </c>
      <c r="M44" s="7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7">
        <v>0</v>
      </c>
      <c r="U44" s="7">
        <v>7.7999999999999997E-8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</row>
    <row r="45" spans="1:30" x14ac:dyDescent="0.3">
      <c r="A45" s="6" t="s">
        <v>25</v>
      </c>
      <c r="B45" s="1" t="s">
        <v>3</v>
      </c>
      <c r="C45" s="1" t="s">
        <v>18</v>
      </c>
      <c r="D45" s="1" t="s">
        <v>7</v>
      </c>
      <c r="E45" s="1">
        <v>5</v>
      </c>
      <c r="F45" s="1">
        <v>1</v>
      </c>
      <c r="G45" s="7">
        <v>1.86E-7</v>
      </c>
      <c r="H45" s="9">
        <v>37</v>
      </c>
      <c r="J45" s="7">
        <v>9.2999999999999999E-7</v>
      </c>
      <c r="K45" s="7">
        <v>1.31E-6</v>
      </c>
      <c r="L45" s="7">
        <v>1.1300000000000001E-7</v>
      </c>
      <c r="M45" s="7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7">
        <v>0</v>
      </c>
      <c r="U45" s="7">
        <v>7.7999999999999997E-8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</row>
    <row r="46" spans="1:30" x14ac:dyDescent="0.3">
      <c r="A46" s="6" t="s">
        <v>29</v>
      </c>
      <c r="B46" s="1" t="s">
        <v>3</v>
      </c>
      <c r="C46" s="1" t="s">
        <v>18</v>
      </c>
      <c r="D46" s="1" t="s">
        <v>7</v>
      </c>
      <c r="E46" s="1">
        <v>5</v>
      </c>
      <c r="F46" s="1">
        <v>1</v>
      </c>
      <c r="G46" s="7">
        <v>1.3799999999999999E-7</v>
      </c>
      <c r="H46" s="9"/>
      <c r="J46" s="7">
        <v>9.2999999999999999E-7</v>
      </c>
      <c r="K46" s="7">
        <v>1.31E-6</v>
      </c>
      <c r="L46" s="7">
        <v>1.1300000000000001E-7</v>
      </c>
      <c r="M46" s="7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7">
        <v>0</v>
      </c>
      <c r="U46" s="7">
        <v>7.7999999999999997E-8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</row>
    <row r="47" spans="1:30" x14ac:dyDescent="0.3">
      <c r="A47" s="6" t="s">
        <v>13</v>
      </c>
      <c r="B47" s="1" t="s">
        <v>40</v>
      </c>
      <c r="C47" s="1" t="s">
        <v>18</v>
      </c>
      <c r="D47" s="1" t="s">
        <v>14</v>
      </c>
      <c r="E47" s="1">
        <v>6</v>
      </c>
      <c r="F47" s="1">
        <v>4</v>
      </c>
      <c r="G47" s="7">
        <v>4.1035000000000003E-8</v>
      </c>
      <c r="H47" s="9"/>
      <c r="J47" s="7">
        <v>4.7999999999999996E-7</v>
      </c>
      <c r="K47" s="7">
        <v>1.44E-6</v>
      </c>
      <c r="L47" s="7">
        <v>1.1300000000000001E-7</v>
      </c>
      <c r="M47" s="7">
        <v>1.6999999999999999E-7</v>
      </c>
      <c r="N47" s="8">
        <v>1.35E-7</v>
      </c>
      <c r="O47" s="8">
        <v>1.1999999999999999E-7</v>
      </c>
      <c r="P47" s="8">
        <v>1.4999999999999999E-7</v>
      </c>
      <c r="Q47" s="8">
        <v>1.6999999999999999E-7</v>
      </c>
      <c r="R47" s="8">
        <v>1.6E-7</v>
      </c>
      <c r="S47" s="8">
        <v>5.2999999999999998E-8</v>
      </c>
      <c r="T47" s="7">
        <v>0</v>
      </c>
      <c r="U47" s="7">
        <v>7.7999999999999997E-8</v>
      </c>
      <c r="V47" s="7">
        <v>8.4999999999999994E-8</v>
      </c>
      <c r="W47" s="7">
        <v>5.9999999999999995E-8</v>
      </c>
      <c r="X47" s="7">
        <v>5.9999999999999995E-8</v>
      </c>
      <c r="Y47" s="7">
        <v>9.3999999999999995E-8</v>
      </c>
      <c r="Z47" s="7">
        <v>6.4000000000000004E-8</v>
      </c>
      <c r="AA47" s="7">
        <v>1.445E-7</v>
      </c>
      <c r="AB47" s="7">
        <v>8.4999999999999994E-8</v>
      </c>
      <c r="AC47" s="7">
        <v>0</v>
      </c>
      <c r="AD47" s="7">
        <v>0</v>
      </c>
    </row>
    <row r="48" spans="1:30" x14ac:dyDescent="0.3">
      <c r="A48" s="6" t="s">
        <v>21</v>
      </c>
      <c r="B48" s="1" t="s">
        <v>22</v>
      </c>
      <c r="C48" s="1" t="s">
        <v>20</v>
      </c>
      <c r="D48" s="1" t="s">
        <v>34</v>
      </c>
      <c r="E48" s="1">
        <v>7</v>
      </c>
      <c r="F48" s="1">
        <v>3</v>
      </c>
      <c r="G48" s="7">
        <v>5.1E-8</v>
      </c>
      <c r="H48" s="9">
        <v>37</v>
      </c>
      <c r="I48" s="7" t="s">
        <v>56</v>
      </c>
      <c r="J48" s="7">
        <v>3.9999999999999998E-7</v>
      </c>
      <c r="K48" s="7">
        <v>1.9800000000000001E-6</v>
      </c>
      <c r="L48" s="7">
        <v>2E-8</v>
      </c>
      <c r="M48" s="7">
        <v>1.4999999999999999E-8</v>
      </c>
      <c r="N48" s="8">
        <v>1.2E-8</v>
      </c>
      <c r="O48" s="8">
        <v>1E-8</v>
      </c>
      <c r="P48" s="8">
        <v>1.7999999999999999E-8</v>
      </c>
      <c r="Q48" s="8">
        <v>1.3000000000000001E-8</v>
      </c>
      <c r="R48" s="8">
        <v>1.7E-8</v>
      </c>
      <c r="S48" s="8">
        <v>4.6000000000000002E-8</v>
      </c>
      <c r="T48" s="7">
        <v>0</v>
      </c>
      <c r="U48" s="7">
        <v>5.9999999999999995E-8</v>
      </c>
      <c r="V48" s="7">
        <v>7.0000000000000005E-8</v>
      </c>
      <c r="W48" s="7">
        <v>6.2999999999999995E-8</v>
      </c>
      <c r="X48" s="7">
        <v>7.0000000000000005E-8</v>
      </c>
      <c r="Y48" s="7">
        <v>6.1000000000000004E-8</v>
      </c>
      <c r="Z48" s="7">
        <v>1.4499999999999999E-7</v>
      </c>
      <c r="AA48" s="7">
        <v>5.9999999999999995E-8</v>
      </c>
      <c r="AB48" s="7">
        <v>6.7000000000000004E-8</v>
      </c>
      <c r="AC48" s="7">
        <v>5.9999999999999995E-8</v>
      </c>
      <c r="AD48" s="7">
        <v>5.4E-8</v>
      </c>
    </row>
    <row r="49" spans="1:30" x14ac:dyDescent="0.3">
      <c r="A49" s="6" t="s">
        <v>21</v>
      </c>
      <c r="B49" s="1" t="s">
        <v>22</v>
      </c>
      <c r="C49" s="1" t="s">
        <v>20</v>
      </c>
      <c r="D49" s="1" t="s">
        <v>34</v>
      </c>
      <c r="E49" s="1">
        <v>7</v>
      </c>
      <c r="F49" s="1">
        <v>3</v>
      </c>
      <c r="G49" s="7">
        <v>5.5999999999999999E-8</v>
      </c>
      <c r="H49" s="9">
        <v>37</v>
      </c>
      <c r="I49" s="7" t="s">
        <v>56</v>
      </c>
      <c r="J49" s="7">
        <v>3.9999999999999998E-7</v>
      </c>
      <c r="K49" s="7">
        <v>1.9800000000000001E-6</v>
      </c>
      <c r="L49" s="7">
        <v>2E-8</v>
      </c>
      <c r="M49" s="7">
        <v>1.4999999999999999E-8</v>
      </c>
      <c r="N49" s="8">
        <v>1.2E-8</v>
      </c>
      <c r="O49" s="8">
        <v>1E-8</v>
      </c>
      <c r="P49" s="8">
        <v>1.7999999999999999E-8</v>
      </c>
      <c r="Q49" s="8">
        <v>1.3000000000000001E-8</v>
      </c>
      <c r="R49" s="8">
        <v>1.7E-8</v>
      </c>
      <c r="S49" s="8">
        <v>4.6000000000000002E-8</v>
      </c>
      <c r="T49" s="7">
        <v>0</v>
      </c>
      <c r="U49" s="7">
        <v>5.9999999999999995E-8</v>
      </c>
      <c r="V49" s="7">
        <v>7.0000000000000005E-8</v>
      </c>
      <c r="W49" s="7">
        <v>6.2999999999999995E-8</v>
      </c>
      <c r="X49" s="7">
        <v>7.0000000000000005E-8</v>
      </c>
      <c r="Y49" s="7">
        <v>6.1000000000000004E-8</v>
      </c>
      <c r="Z49" s="7">
        <v>1.4499999999999999E-7</v>
      </c>
      <c r="AA49" s="7">
        <v>5.9999999999999995E-8</v>
      </c>
      <c r="AB49" s="7">
        <v>6.7000000000000004E-8</v>
      </c>
      <c r="AC49" s="7">
        <v>5.9999999999999995E-8</v>
      </c>
      <c r="AD49" s="7">
        <v>5.4E-8</v>
      </c>
    </row>
    <row r="50" spans="1:30" x14ac:dyDescent="0.3">
      <c r="A50" s="6" t="s">
        <v>21</v>
      </c>
      <c r="B50" s="1" t="s">
        <v>22</v>
      </c>
      <c r="C50" s="1" t="s">
        <v>20</v>
      </c>
      <c r="D50" s="1" t="s">
        <v>34</v>
      </c>
      <c r="E50" s="1">
        <v>7</v>
      </c>
      <c r="F50" s="1">
        <v>3</v>
      </c>
      <c r="G50" s="7">
        <v>5.9999999999999995E-8</v>
      </c>
      <c r="H50" s="9">
        <v>37</v>
      </c>
      <c r="I50" s="7" t="s">
        <v>56</v>
      </c>
      <c r="J50" s="7">
        <v>3.9999999999999998E-7</v>
      </c>
      <c r="K50" s="7">
        <v>1.9800000000000001E-6</v>
      </c>
      <c r="L50" s="7">
        <v>2E-8</v>
      </c>
      <c r="M50" s="7">
        <v>1.4999999999999999E-8</v>
      </c>
      <c r="N50" s="8">
        <v>1.2E-8</v>
      </c>
      <c r="O50" s="8">
        <v>1E-8</v>
      </c>
      <c r="P50" s="8">
        <v>1.7999999999999999E-8</v>
      </c>
      <c r="Q50" s="8">
        <v>1.3000000000000001E-8</v>
      </c>
      <c r="R50" s="8">
        <v>1.7E-8</v>
      </c>
      <c r="S50" s="8">
        <v>4.6000000000000002E-8</v>
      </c>
      <c r="T50" s="7">
        <v>0</v>
      </c>
      <c r="U50" s="7">
        <v>5.9999999999999995E-8</v>
      </c>
      <c r="V50" s="7">
        <v>7.0000000000000005E-8</v>
      </c>
      <c r="W50" s="7">
        <v>6.2999999999999995E-8</v>
      </c>
      <c r="X50" s="7">
        <v>7.0000000000000005E-8</v>
      </c>
      <c r="Y50" s="7">
        <v>6.1000000000000004E-8</v>
      </c>
      <c r="Z50" s="7">
        <v>1.4499999999999999E-7</v>
      </c>
      <c r="AA50" s="7">
        <v>5.9999999999999995E-8</v>
      </c>
      <c r="AB50" s="7">
        <v>6.7000000000000004E-8</v>
      </c>
      <c r="AC50" s="7">
        <v>5.9999999999999995E-8</v>
      </c>
      <c r="AD50" s="7">
        <v>5.4E-8</v>
      </c>
    </row>
    <row r="51" spans="1:30" x14ac:dyDescent="0.3">
      <c r="A51" s="6" t="s">
        <v>21</v>
      </c>
      <c r="B51" s="1" t="s">
        <v>22</v>
      </c>
      <c r="C51" s="1" t="s">
        <v>20</v>
      </c>
      <c r="D51" s="1" t="s">
        <v>34</v>
      </c>
      <c r="E51" s="1">
        <v>7</v>
      </c>
      <c r="F51" s="1">
        <v>3</v>
      </c>
      <c r="G51" s="7">
        <v>7.0000000000000005E-8</v>
      </c>
      <c r="H51" s="9">
        <v>37</v>
      </c>
      <c r="I51" s="7" t="s">
        <v>56</v>
      </c>
      <c r="J51" s="7">
        <v>3.9999999999999998E-7</v>
      </c>
      <c r="K51" s="7">
        <v>1.9800000000000001E-6</v>
      </c>
      <c r="L51" s="7">
        <v>2E-8</v>
      </c>
      <c r="M51" s="7">
        <v>1.4999999999999999E-8</v>
      </c>
      <c r="N51" s="8">
        <v>1.2E-8</v>
      </c>
      <c r="O51" s="8">
        <v>1E-8</v>
      </c>
      <c r="P51" s="8">
        <v>1.7999999999999999E-8</v>
      </c>
      <c r="Q51" s="8">
        <v>1.3000000000000001E-8</v>
      </c>
      <c r="R51" s="8">
        <v>1.7E-8</v>
      </c>
      <c r="S51" s="8">
        <v>4.6000000000000002E-8</v>
      </c>
      <c r="T51" s="7">
        <v>0</v>
      </c>
      <c r="U51" s="7">
        <v>5.9999999999999995E-8</v>
      </c>
      <c r="V51" s="7">
        <v>7.0000000000000005E-8</v>
      </c>
      <c r="W51" s="7">
        <v>6.2999999999999995E-8</v>
      </c>
      <c r="X51" s="7">
        <v>7.0000000000000005E-8</v>
      </c>
      <c r="Y51" s="7">
        <v>6.1000000000000004E-8</v>
      </c>
      <c r="Z51" s="7">
        <v>1.4499999999999999E-7</v>
      </c>
      <c r="AA51" s="7">
        <v>5.9999999999999995E-8</v>
      </c>
      <c r="AB51" s="7">
        <v>6.7000000000000004E-8</v>
      </c>
      <c r="AC51" s="7">
        <v>5.9999999999999995E-8</v>
      </c>
      <c r="AD51" s="7">
        <v>5.4E-8</v>
      </c>
    </row>
    <row r="52" spans="1:30" x14ac:dyDescent="0.3">
      <c r="A52" s="6" t="s">
        <v>21</v>
      </c>
      <c r="B52" s="1" t="s">
        <v>22</v>
      </c>
      <c r="C52" s="1" t="s">
        <v>20</v>
      </c>
      <c r="D52" s="1" t="s">
        <v>34</v>
      </c>
      <c r="E52" s="1">
        <v>7</v>
      </c>
      <c r="F52" s="1">
        <v>3</v>
      </c>
      <c r="G52" s="7">
        <v>7.7999999999999997E-8</v>
      </c>
      <c r="H52" s="9">
        <v>37</v>
      </c>
      <c r="I52" s="7" t="s">
        <v>56</v>
      </c>
      <c r="J52" s="7">
        <v>3.9999999999999998E-7</v>
      </c>
      <c r="K52" s="7">
        <v>1.9800000000000001E-6</v>
      </c>
      <c r="L52" s="7">
        <v>2E-8</v>
      </c>
      <c r="M52" s="7">
        <v>1.4999999999999999E-8</v>
      </c>
      <c r="N52" s="8">
        <v>1.2E-8</v>
      </c>
      <c r="O52" s="8">
        <v>1E-8</v>
      </c>
      <c r="P52" s="8">
        <v>1.7999999999999999E-8</v>
      </c>
      <c r="Q52" s="8">
        <v>1.3000000000000001E-8</v>
      </c>
      <c r="R52" s="8">
        <v>1.7E-8</v>
      </c>
      <c r="S52" s="8">
        <v>4.6000000000000002E-8</v>
      </c>
      <c r="T52" s="7">
        <v>0</v>
      </c>
      <c r="U52" s="7">
        <v>5.9999999999999995E-8</v>
      </c>
      <c r="V52" s="7">
        <v>7.0000000000000005E-8</v>
      </c>
      <c r="W52" s="7">
        <v>6.2999999999999995E-8</v>
      </c>
      <c r="X52" s="7">
        <v>7.0000000000000005E-8</v>
      </c>
      <c r="Y52" s="7">
        <v>6.1000000000000004E-8</v>
      </c>
      <c r="Z52" s="7">
        <v>1.4499999999999999E-7</v>
      </c>
      <c r="AA52" s="7">
        <v>5.9999999999999995E-8</v>
      </c>
      <c r="AB52" s="7">
        <v>6.7000000000000004E-8</v>
      </c>
      <c r="AC52" s="7">
        <v>5.9999999999999995E-8</v>
      </c>
      <c r="AD52" s="7">
        <v>5.4E-8</v>
      </c>
    </row>
    <row r="53" spans="1:30" x14ac:dyDescent="0.3">
      <c r="A53" s="6" t="s">
        <v>12</v>
      </c>
      <c r="B53" s="1" t="s">
        <v>23</v>
      </c>
      <c r="C53" s="1" t="s">
        <v>20</v>
      </c>
      <c r="D53" s="1" t="s">
        <v>34</v>
      </c>
      <c r="E53" s="1">
        <v>8</v>
      </c>
      <c r="F53" s="1">
        <v>4</v>
      </c>
      <c r="G53" s="7">
        <v>6.1200000000000005E-8</v>
      </c>
      <c r="H53" s="9"/>
      <c r="J53" s="7">
        <v>4.7999999999999996E-7</v>
      </c>
      <c r="K53" s="7">
        <v>1.44E-6</v>
      </c>
      <c r="L53" s="7">
        <v>2E-8</v>
      </c>
      <c r="M53" s="7">
        <v>1.4999999999999999E-8</v>
      </c>
      <c r="N53" s="8">
        <v>1.2E-8</v>
      </c>
      <c r="O53" s="8">
        <v>1E-8</v>
      </c>
      <c r="P53" s="8">
        <v>1.7999999999999999E-8</v>
      </c>
      <c r="Q53" s="8">
        <v>1.3000000000000001E-8</v>
      </c>
      <c r="R53" s="8">
        <v>1.7E-8</v>
      </c>
      <c r="S53" s="8">
        <v>4.6000000000000002E-8</v>
      </c>
      <c r="T53" s="7">
        <v>0</v>
      </c>
      <c r="U53" s="7">
        <v>5.9999999999999995E-8</v>
      </c>
      <c r="V53" s="7">
        <v>7.0000000000000005E-8</v>
      </c>
      <c r="W53" s="7">
        <v>6.2999999999999995E-8</v>
      </c>
      <c r="X53" s="7">
        <v>7.0000000000000005E-8</v>
      </c>
      <c r="Y53" s="7">
        <v>6.1000000000000004E-8</v>
      </c>
      <c r="Z53" s="7">
        <v>1.4499999999999999E-7</v>
      </c>
      <c r="AA53" s="7">
        <v>5.9999999999999995E-8</v>
      </c>
      <c r="AB53" s="7">
        <v>6.7000000000000004E-8</v>
      </c>
      <c r="AC53" s="7">
        <v>5.9999999999999995E-8</v>
      </c>
      <c r="AD53" s="7">
        <v>5.4E-8</v>
      </c>
    </row>
    <row r="54" spans="1:30" x14ac:dyDescent="0.3">
      <c r="A54" s="6" t="s">
        <v>8</v>
      </c>
      <c r="B54" s="1" t="s">
        <v>39</v>
      </c>
      <c r="C54" s="1" t="s">
        <v>20</v>
      </c>
      <c r="D54" s="1" t="s">
        <v>9</v>
      </c>
      <c r="E54" s="1">
        <v>8</v>
      </c>
      <c r="F54" s="1">
        <v>4</v>
      </c>
      <c r="G54" s="7">
        <v>1.0600000000000001E-8</v>
      </c>
      <c r="H54" s="9"/>
      <c r="J54" s="7">
        <v>4.7999999999999996E-7</v>
      </c>
      <c r="K54" s="7">
        <v>1.44E-6</v>
      </c>
      <c r="L54" s="7">
        <v>2E-8</v>
      </c>
      <c r="M54" s="7">
        <v>1.4999999999999999E-8</v>
      </c>
      <c r="N54" s="8">
        <v>1.2E-8</v>
      </c>
      <c r="O54" s="8">
        <v>1E-8</v>
      </c>
      <c r="P54" s="8">
        <v>1.7999999999999999E-8</v>
      </c>
      <c r="Q54" s="8">
        <v>1.3000000000000001E-8</v>
      </c>
      <c r="R54" s="8">
        <v>1.7E-8</v>
      </c>
      <c r="S54" s="8">
        <v>4.6000000000000002E-8</v>
      </c>
      <c r="T54" s="7">
        <v>0</v>
      </c>
      <c r="U54" s="7">
        <v>5.9999999999999995E-8</v>
      </c>
      <c r="V54" s="7">
        <v>7.0000000000000005E-8</v>
      </c>
      <c r="W54" s="7">
        <v>6.2999999999999995E-8</v>
      </c>
      <c r="X54" s="7">
        <v>7.0000000000000005E-8</v>
      </c>
      <c r="Y54" s="7">
        <v>6.1000000000000004E-8</v>
      </c>
      <c r="Z54" s="7">
        <v>1.4499999999999999E-7</v>
      </c>
      <c r="AA54" s="7">
        <v>5.9999999999999995E-8</v>
      </c>
      <c r="AB54" s="7">
        <v>6.7000000000000004E-8</v>
      </c>
      <c r="AC54" s="7">
        <v>5.9999999999999995E-8</v>
      </c>
      <c r="AD54" s="7">
        <v>5.4E-8</v>
      </c>
    </row>
    <row r="55" spans="1:30" x14ac:dyDescent="0.3">
      <c r="A55" s="6" t="s">
        <v>25</v>
      </c>
      <c r="B55" s="1" t="s">
        <v>3</v>
      </c>
      <c r="C55" s="1" t="s">
        <v>20</v>
      </c>
      <c r="D55" s="1" t="s">
        <v>26</v>
      </c>
      <c r="E55" s="1">
        <v>9</v>
      </c>
      <c r="F55" s="1">
        <v>1</v>
      </c>
      <c r="G55" s="7">
        <v>1.8E-7</v>
      </c>
      <c r="H55" s="9">
        <v>37</v>
      </c>
      <c r="I55" s="7" t="s">
        <v>54</v>
      </c>
      <c r="J55" s="7">
        <v>9.2999999999999999E-7</v>
      </c>
      <c r="K55" s="7">
        <v>1.31E-6</v>
      </c>
      <c r="L55" s="7">
        <v>2E-8</v>
      </c>
      <c r="M55" s="7">
        <v>1.4999999999999999E-8</v>
      </c>
      <c r="N55" s="8">
        <v>1.2E-8</v>
      </c>
      <c r="O55" s="8">
        <v>1E-8</v>
      </c>
      <c r="P55" s="8">
        <v>1.7999999999999999E-8</v>
      </c>
      <c r="Q55" s="8">
        <v>1.3000000000000001E-8</v>
      </c>
      <c r="R55" s="8">
        <v>1.7E-8</v>
      </c>
      <c r="S55" s="8">
        <v>4.6000000000000002E-8</v>
      </c>
      <c r="T55" s="7">
        <v>0</v>
      </c>
      <c r="U55" s="7">
        <v>5.9999999999999995E-8</v>
      </c>
      <c r="V55" s="7">
        <v>7.0000000000000005E-8</v>
      </c>
      <c r="W55" s="7">
        <v>6.2999999999999995E-8</v>
      </c>
      <c r="X55" s="7">
        <v>7.0000000000000005E-8</v>
      </c>
      <c r="Y55" s="7">
        <v>6.1000000000000004E-8</v>
      </c>
      <c r="Z55" s="7">
        <v>1.4499999999999999E-7</v>
      </c>
      <c r="AA55" s="7">
        <v>5.9999999999999995E-8</v>
      </c>
      <c r="AB55" s="7">
        <v>6.7000000000000004E-8</v>
      </c>
      <c r="AC55" s="7">
        <v>5.9999999999999995E-8</v>
      </c>
      <c r="AD55" s="7">
        <v>5.4E-8</v>
      </c>
    </row>
    <row r="56" spans="1:30" x14ac:dyDescent="0.3">
      <c r="A56" s="6" t="s">
        <v>69</v>
      </c>
      <c r="B56" s="1" t="s">
        <v>3</v>
      </c>
      <c r="C56" s="1" t="s">
        <v>20</v>
      </c>
      <c r="D56" s="1" t="s">
        <v>30</v>
      </c>
      <c r="E56" s="1">
        <v>9</v>
      </c>
      <c r="F56" s="1">
        <v>1</v>
      </c>
      <c r="G56" s="7">
        <v>3.4200000000000002E-7</v>
      </c>
      <c r="H56" s="9"/>
      <c r="I56" s="7" t="s">
        <v>66</v>
      </c>
      <c r="J56" s="7">
        <v>9.2999999999999999E-7</v>
      </c>
      <c r="K56" s="7">
        <v>1.31E-6</v>
      </c>
      <c r="L56" s="7">
        <v>1.7E-8</v>
      </c>
      <c r="M56" s="7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7">
        <v>0</v>
      </c>
      <c r="U56" s="7">
        <v>5.9999999999999995E-8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</row>
    <row r="57" spans="1:30" x14ac:dyDescent="0.3">
      <c r="A57" s="6" t="s">
        <v>69</v>
      </c>
      <c r="B57" s="1" t="s">
        <v>3</v>
      </c>
      <c r="C57" s="1" t="s">
        <v>20</v>
      </c>
      <c r="D57" s="1" t="s">
        <v>30</v>
      </c>
      <c r="E57" s="1">
        <v>9</v>
      </c>
      <c r="F57" s="1">
        <v>1</v>
      </c>
      <c r="G57" s="7">
        <v>3.72E-7</v>
      </c>
      <c r="H57" s="9"/>
      <c r="I57" s="7" t="s">
        <v>67</v>
      </c>
      <c r="J57" s="7">
        <v>9.2999999999999999E-7</v>
      </c>
      <c r="K57" s="7">
        <v>1.31E-6</v>
      </c>
      <c r="L57" s="7">
        <v>1.7E-8</v>
      </c>
      <c r="M57" s="7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7">
        <v>0</v>
      </c>
      <c r="U57" s="7">
        <v>5.9999999999999995E-8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</row>
    <row r="58" spans="1:30" x14ac:dyDescent="0.3">
      <c r="A58" s="6" t="s">
        <v>69</v>
      </c>
      <c r="B58" s="1" t="s">
        <v>3</v>
      </c>
      <c r="C58" s="1" t="s">
        <v>20</v>
      </c>
      <c r="D58" s="1" t="s">
        <v>30</v>
      </c>
      <c r="E58" s="1">
        <v>9</v>
      </c>
      <c r="F58" s="1">
        <v>1</v>
      </c>
      <c r="G58" s="7">
        <v>5.8199999999999998E-8</v>
      </c>
      <c r="H58" s="9"/>
      <c r="I58" s="7" t="s">
        <v>68</v>
      </c>
      <c r="J58" s="7">
        <v>9.2999999999999999E-7</v>
      </c>
      <c r="K58" s="7">
        <v>1.31E-6</v>
      </c>
      <c r="L58" s="7">
        <v>1.7E-8</v>
      </c>
      <c r="M58" s="7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7">
        <v>0</v>
      </c>
      <c r="U58" s="7">
        <v>5.9999999999999995E-8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</row>
    <row r="62" spans="1:30" x14ac:dyDescent="0.3">
      <c r="E62" s="1" t="s">
        <v>45</v>
      </c>
      <c r="L62" s="1" t="s">
        <v>46</v>
      </c>
      <c r="P62" s="6" t="s">
        <v>48</v>
      </c>
    </row>
    <row r="63" spans="1:30" x14ac:dyDescent="0.3">
      <c r="E63" s="1" t="s">
        <v>41</v>
      </c>
      <c r="G63" s="7">
        <f>SUM(G48:G58)</f>
        <v>1.339E-6</v>
      </c>
      <c r="L63" s="1" t="s">
        <v>41</v>
      </c>
      <c r="M63" s="7">
        <f>SUM(G18:G47)</f>
        <v>4.9724350000000008E-6</v>
      </c>
      <c r="P63" s="6" t="s">
        <v>41</v>
      </c>
      <c r="Q63" s="8">
        <f>SUM(G2:G17)</f>
        <v>4.3772000000000002E-6</v>
      </c>
      <c r="T63" s="7"/>
    </row>
    <row r="64" spans="1:30" x14ac:dyDescent="0.3">
      <c r="E64" s="1" t="s">
        <v>42</v>
      </c>
      <c r="G64" s="7">
        <f>SUM(G48:G52)</f>
        <v>3.15E-7</v>
      </c>
      <c r="J64" s="7">
        <f>100*G64/G63</f>
        <v>23.52501867064974</v>
      </c>
      <c r="L64" s="1" t="s">
        <v>47</v>
      </c>
      <c r="M64" s="7">
        <f>SUM(G18:G33)</f>
        <v>9.6359999999999997E-7</v>
      </c>
      <c r="N64" s="8">
        <f>100*M64/M63</f>
        <v>19.378835520222985</v>
      </c>
      <c r="P64" s="6" t="s">
        <v>43</v>
      </c>
      <c r="Q64" s="8">
        <f>SUM(G2:G9)</f>
        <v>1.8968000000000002E-6</v>
      </c>
      <c r="R64" s="8">
        <f>100*Q64/Q63</f>
        <v>43.333637942063419</v>
      </c>
    </row>
    <row r="65" spans="5:18" x14ac:dyDescent="0.3">
      <c r="E65" s="1" t="s">
        <v>43</v>
      </c>
      <c r="G65" s="7">
        <f>SUM(G55:G58)</f>
        <v>9.5220000000000007E-7</v>
      </c>
      <c r="J65" s="7">
        <f>100*G65/G63</f>
        <v>71.112770724421225</v>
      </c>
      <c r="L65" s="1" t="s">
        <v>43</v>
      </c>
      <c r="M65" s="7">
        <f>SUM(G34:G46)</f>
        <v>3.9678000000000004E-6</v>
      </c>
      <c r="N65" s="8">
        <f>100*M65/M63</f>
        <v>79.795914878726421</v>
      </c>
      <c r="P65" s="6" t="s">
        <v>47</v>
      </c>
      <c r="Q65" s="8">
        <f>SUM(G13:G14)</f>
        <v>4.7E-7</v>
      </c>
      <c r="R65" s="8">
        <f>100*Q65/Q63</f>
        <v>10.737457735538699</v>
      </c>
    </row>
    <row r="66" spans="5:18" x14ac:dyDescent="0.3">
      <c r="E66" s="1" t="s">
        <v>44</v>
      </c>
      <c r="G66" s="7">
        <f>SUM(G53:G54)</f>
        <v>7.1800000000000008E-8</v>
      </c>
      <c r="J66" s="7">
        <f>100*G66/G63</f>
        <v>5.3622106049290519</v>
      </c>
      <c r="L66" s="1" t="s">
        <v>44</v>
      </c>
      <c r="M66" s="7">
        <f>G47</f>
        <v>4.1035000000000003E-8</v>
      </c>
      <c r="N66" s="8">
        <f>100*M66/M63</f>
        <v>0.82524960105059186</v>
      </c>
      <c r="P66" s="6" t="s">
        <v>49</v>
      </c>
      <c r="Q66" s="8">
        <f>SUM(G15:G17)</f>
        <v>1.5099999999999999E-7</v>
      </c>
      <c r="R66" s="8">
        <f>100*Q66/Q63</f>
        <v>3.4496938682262632</v>
      </c>
    </row>
    <row r="67" spans="5:18" x14ac:dyDescent="0.3">
      <c r="J67" s="7">
        <f>SUM(J64:J66)</f>
        <v>100.00000000000001</v>
      </c>
      <c r="N67" s="7">
        <f>SUM(N64:N66)</f>
        <v>100</v>
      </c>
      <c r="R67" s="7">
        <f>SUM(R64:R66)</f>
        <v>57.520789545828379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adsorption_data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Joiner</dc:creator>
  <cp:lastModifiedBy>Kevin Joiner</cp:lastModifiedBy>
  <dcterms:created xsi:type="dcterms:W3CDTF">2020-11-15T17:37:31Z</dcterms:created>
  <dcterms:modified xsi:type="dcterms:W3CDTF">2021-03-20T18:47:07Z</dcterms:modified>
</cp:coreProperties>
</file>